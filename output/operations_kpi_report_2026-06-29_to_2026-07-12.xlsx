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ll Data" sheetId="2" r:id="rId5"/>
    <sheet state="visible" name="Team Alpha" sheetId="3" r:id="rId6"/>
    <sheet state="visible" name="Team Beta" sheetId="4" r:id="rId7"/>
    <sheet state="visible" name="Team Gamma" sheetId="5" r:id="rId8"/>
    <sheet state="visible" name="Team Delta" sheetId="6" r:id="rId9"/>
    <sheet state="visible" name="Team Epsilon" sheetId="7" r:id="rId10"/>
  </sheets>
  <definedNames/>
  <calcPr/>
  <extLst>
    <ext uri="GoogleSheetsCustomDataVersion2">
      <go:sheetsCustomData xmlns:go="http://customooxmlschemas.google.com/" r:id="rId11" roundtripDataChecksum="yuqcn9yh7wTRCAIXFEAI9p7xEc0meovnF3S+xU0KacI="/>
    </ext>
  </extLst>
</workbook>
</file>

<file path=xl/sharedStrings.xml><?xml version="1.0" encoding="utf-8"?>
<sst xmlns="http://schemas.openxmlformats.org/spreadsheetml/2006/main" count="514" uniqueCount="146">
  <si>
    <t>Process Quality KPI Report</t>
  </si>
  <si>
    <t>Recent Reporting Week Start</t>
  </si>
  <si>
    <t>Recent Reporting Week End</t>
  </si>
  <si>
    <t>Task Type</t>
  </si>
  <si>
    <t>Team Alpha</t>
  </si>
  <si>
    <t>Team Beta</t>
  </si>
  <si>
    <t>Team Gamma</t>
  </si>
  <si>
    <t>Team Delta</t>
  </si>
  <si>
    <t>Team Epsilon</t>
  </si>
  <si>
    <t>Overall</t>
  </si>
  <si>
    <t>Quality Review</t>
  </si>
  <si>
    <t>Complex Case Review</t>
  </si>
  <si>
    <t>Process Exception Investigation</t>
  </si>
  <si>
    <t>Priority Escalation Review</t>
  </si>
  <si>
    <t>SLA</t>
  </si>
  <si>
    <t>Met</t>
  </si>
  <si>
    <t>Not Met</t>
  </si>
  <si>
    <t>Older Reporting Week Start</t>
  </si>
  <si>
    <t>Older Reporting Week End</t>
  </si>
  <si>
    <t>WoW Comparison</t>
  </si>
  <si>
    <t>Metric</t>
  </si>
  <si>
    <t>Older Week</t>
  </si>
  <si>
    <t>Recent Week</t>
  </si>
  <si>
    <t>Change</t>
  </si>
  <si>
    <t>Change %</t>
  </si>
  <si>
    <t>Total Tasks Completed</t>
  </si>
  <si>
    <t>SLA Breaches</t>
  </si>
  <si>
    <t>SLA Met</t>
  </si>
  <si>
    <t>SLA Compliance %</t>
  </si>
  <si>
    <t>Priority Escalation Share %</t>
  </si>
  <si>
    <t>Team</t>
  </si>
  <si>
    <t>Older Tasks</t>
  </si>
  <si>
    <t>Recent Tasks</t>
  </si>
  <si>
    <t>WoW Change</t>
  </si>
  <si>
    <t>WoW Change %</t>
  </si>
  <si>
    <t>Older SLA %</t>
  </si>
  <si>
    <t>Recent SLA %</t>
  </si>
  <si>
    <t>SLA Change</t>
  </si>
  <si>
    <t>Recent Volume Share</t>
  </si>
  <si>
    <t>Task ID</t>
  </si>
  <si>
    <t>Created Date</t>
  </si>
  <si>
    <t>Completed Date</t>
  </si>
  <si>
    <t>SLA Breached</t>
  </si>
  <si>
    <t>TASK-2001</t>
  </si>
  <si>
    <t>N/A</t>
  </si>
  <si>
    <t>TASK-2003</t>
  </si>
  <si>
    <t>TASK-2005</t>
  </si>
  <si>
    <t>TASK-2006</t>
  </si>
  <si>
    <t>Yes</t>
  </si>
  <si>
    <t>TASK-2002</t>
  </si>
  <si>
    <t>TASK-2004</t>
  </si>
  <si>
    <t>TASK-2007</t>
  </si>
  <si>
    <t>No</t>
  </si>
  <si>
    <t>TASK-2055</t>
  </si>
  <si>
    <t>TASK-2047</t>
  </si>
  <si>
    <t>TASK-2050</t>
  </si>
  <si>
    <t>TASK-2045</t>
  </si>
  <si>
    <t>TASK-2053</t>
  </si>
  <si>
    <t>TASK-2048</t>
  </si>
  <si>
    <t>TASK-2051</t>
  </si>
  <si>
    <t>TASK-2056</t>
  </si>
  <si>
    <t>TASK-2054</t>
  </si>
  <si>
    <t>TASK-2046</t>
  </si>
  <si>
    <t>TASK-2049</t>
  </si>
  <si>
    <t>TASK-2052</t>
  </si>
  <si>
    <t>TASK-2012</t>
  </si>
  <si>
    <t>TASK-2014</t>
  </si>
  <si>
    <t>TASK-2008</t>
  </si>
  <si>
    <t>TASK-2010</t>
  </si>
  <si>
    <t>TASK-2011</t>
  </si>
  <si>
    <t>TASK-2015</t>
  </si>
  <si>
    <t>TASK-2013</t>
  </si>
  <si>
    <t>TASK-2009</t>
  </si>
  <si>
    <t>TASK-2061</t>
  </si>
  <si>
    <t>TASK-2063</t>
  </si>
  <si>
    <t>TASK-2067</t>
  </si>
  <si>
    <t>TASK-2065</t>
  </si>
  <si>
    <t>TASK-2059</t>
  </si>
  <si>
    <t>TASK-2057</t>
  </si>
  <si>
    <t>TASK-2060</t>
  </si>
  <si>
    <t>TASK-2062</t>
  </si>
  <si>
    <t>TASK-2066</t>
  </si>
  <si>
    <t>TASK-2064</t>
  </si>
  <si>
    <t>TASK-2058</t>
  </si>
  <si>
    <t>TASK-2022</t>
  </si>
  <si>
    <t>TASK-2017</t>
  </si>
  <si>
    <t>TASK-2019</t>
  </si>
  <si>
    <t>TASK-2021</t>
  </si>
  <si>
    <t>TASK-2023</t>
  </si>
  <si>
    <t>TASK-2016</t>
  </si>
  <si>
    <t>TASK-2018</t>
  </si>
  <si>
    <t>TASK-2020</t>
  </si>
  <si>
    <t>TASK-2024</t>
  </si>
  <si>
    <t>TASK-2073</t>
  </si>
  <si>
    <t>TASK-2077</t>
  </si>
  <si>
    <t>TASK-2075</t>
  </si>
  <si>
    <t>TASK-2069</t>
  </si>
  <si>
    <t>TASK-2071</t>
  </si>
  <si>
    <t>TASK-2074</t>
  </si>
  <si>
    <t>TASK-2076</t>
  </si>
  <si>
    <t>TASK-2072</t>
  </si>
  <si>
    <t>TASK-2068</t>
  </si>
  <si>
    <t>TASK-2070</t>
  </si>
  <si>
    <t>TASK-2028</t>
  </si>
  <si>
    <t>TASK-2030</t>
  </si>
  <si>
    <t>TASK-2034</t>
  </si>
  <si>
    <t>TASK-2026</t>
  </si>
  <si>
    <t>TASK-2032</t>
  </si>
  <si>
    <t>TASK-2029</t>
  </si>
  <si>
    <t>TASK-2031</t>
  </si>
  <si>
    <t>TASK-2027</t>
  </si>
  <si>
    <t>TASK-2033</t>
  </si>
  <si>
    <t>TASK-2025</t>
  </si>
  <si>
    <t>TASK-2084</t>
  </si>
  <si>
    <t>TASK-2078</t>
  </si>
  <si>
    <t>TASK-2082</t>
  </si>
  <si>
    <t>TASK-2081</t>
  </si>
  <si>
    <t>TASK-2085</t>
  </si>
  <si>
    <t>TASK-2079</t>
  </si>
  <si>
    <t>TASK-2087</t>
  </si>
  <si>
    <t>TASK-2083</t>
  </si>
  <si>
    <t>TASK-2086</t>
  </si>
  <si>
    <t>TASK-2080</t>
  </si>
  <si>
    <t>TASK-2088</t>
  </si>
  <si>
    <t>TASK-2043</t>
  </si>
  <si>
    <t>TASK-2035</t>
  </si>
  <si>
    <t>TASK-2039</t>
  </si>
  <si>
    <t>TASK-2037</t>
  </si>
  <si>
    <t>TASK-2044</t>
  </si>
  <si>
    <t>TASK-2040</t>
  </si>
  <si>
    <t>TASK-2036</t>
  </si>
  <si>
    <t>TASK-2042</t>
  </si>
  <si>
    <t>TASK-2038</t>
  </si>
  <si>
    <t>TASK-2041</t>
  </si>
  <si>
    <t>TASK-2100</t>
  </si>
  <si>
    <t>TASK-2095</t>
  </si>
  <si>
    <t>TASK-2091</t>
  </si>
  <si>
    <t>TASK-2098</t>
  </si>
  <si>
    <t>TASK-2089</t>
  </si>
  <si>
    <t>TASK-2092</t>
  </si>
  <si>
    <t>TASK-2096</t>
  </si>
  <si>
    <t>TASK-2099</t>
  </si>
  <si>
    <t>TASK-2094</t>
  </si>
  <si>
    <t>TASK-2090</t>
  </si>
  <si>
    <t>TASK-2097</t>
  </si>
  <si>
    <t>TASK-2093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</si>
</sst>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%"/>
    <numFmt numFmtId="166" formatCode="yyyy-mm-dd hh:mm"/>
  </numFmts>
  <fonts count="12">
    <font>
      <sz val="11.0"/>
      <color theme="1"/>
      <name val="Calibri"/>
      <scheme val="minor"/>
    </font>
    <font>
      <b/>
      <sz val="18.0"/>
      <color rgb="FFFFFFFF"/>
      <name val="Carlito"/>
    </font>
    <font>
      <sz val="11.0"/>
      <color theme="1"/>
      <name val="Carlito"/>
    </font>
    <font>
      <b/>
      <sz val="11.0"/>
      <color rgb="FF17365D"/>
      <name val="Carlito"/>
    </font>
    <font>
      <b/>
      <sz val="11.0"/>
      <color rgb="FFFFFFFF"/>
      <name val="Carlito"/>
    </font>
    <font>
      <color theme="1"/>
      <name val="Calibri"/>
      <scheme val="minor"/>
    </font>
    <font>
      <sz val="11.0"/>
      <color rgb="FF9C0006"/>
      <name val="Carlito"/>
    </font>
    <font>
      <sz val="11.0"/>
      <color rgb="FF006100"/>
      <name val="Carlito"/>
    </font>
    <font>
      <sz val="11.0"/>
      <color rgb="FF666666"/>
      <name val="Carlito"/>
    </font>
    <font>
      <b/>
      <sz val="11.0"/>
      <color rgb="FF9C0006"/>
      <name val="Carlito"/>
    </font>
    <font>
      <b/>
      <color rgb="FFFFFFFF"/>
      <name val="Calibri"/>
      <scheme val="minor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AF2F8"/>
        <bgColor rgb="FFEAF2F8"/>
      </patternFill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DE9E7"/>
        <bgColor rgb="FFFDE9E7"/>
      </patternFill>
    </fill>
    <fill>
      <patternFill patternType="solid">
        <fgColor rgb="FFE2F0D9"/>
        <bgColor rgb="FFE2F0D9"/>
      </patternFill>
    </fill>
    <fill>
      <patternFill patternType="solid">
        <fgColor rgb="FFE7E6E6"/>
        <bgColor rgb="FFE7E6E6"/>
      </patternFill>
    </fill>
    <fill>
      <patternFill patternType="solid">
        <fgColor rgb="FF1F4E78"/>
        <bgColor rgb="FF1F4E78"/>
      </patternFill>
    </fill>
  </fills>
  <borders count="7">
    <border/>
    <border>
      <left/>
    </border>
    <border>
      <left/>
      <top/>
    </border>
    <border>
      <left/>
      <bottom/>
    </border>
    <border>
      <top/>
    </border>
    <border>
      <right/>
      <top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2" fillId="4" fontId="4" numFmtId="0" xfId="0" applyAlignment="1" applyBorder="1" applyFill="1" applyFont="1">
      <alignment horizontal="center" shrinkToFit="0" wrapText="1"/>
    </xf>
    <xf borderId="1" fillId="5" fontId="4" numFmtId="0" xfId="0" applyAlignment="1" applyBorder="1" applyFill="1" applyFont="1">
      <alignment vertical="bottom"/>
    </xf>
    <xf borderId="1" fillId="6" fontId="4" numFmtId="0" xfId="0" applyAlignment="1" applyBorder="1" applyFill="1" applyFont="1">
      <alignment vertical="bottom"/>
    </xf>
    <xf borderId="3" fillId="5" fontId="4" numFmtId="0" xfId="0" applyAlignment="1" applyBorder="1" applyFont="1">
      <alignment vertical="bottom"/>
    </xf>
    <xf borderId="0" fillId="4" fontId="4" numFmtId="0" xfId="0" applyAlignment="1" applyFont="1">
      <alignment horizontal="center" shrinkToFit="0" wrapText="1"/>
    </xf>
    <xf borderId="1" fillId="5" fontId="3" numFmtId="0" xfId="0" applyAlignment="1" applyBorder="1" applyFont="1">
      <alignment vertical="bottom"/>
    </xf>
    <xf borderId="0" fillId="5" fontId="3" numFmtId="0" xfId="0" applyAlignment="1" applyFont="1">
      <alignment horizontal="right" vertical="bottom"/>
    </xf>
    <xf borderId="1" fillId="6" fontId="3" numFmtId="0" xfId="0" applyAlignment="1" applyBorder="1" applyFont="1">
      <alignment vertical="bottom"/>
    </xf>
    <xf borderId="0" fillId="6" fontId="5" numFmtId="0" xfId="0" applyFont="1"/>
    <xf borderId="2" fillId="7" fontId="4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2" fillId="3" fontId="3" numFmtId="0" xfId="0" applyAlignment="1" applyBorder="1" applyFont="1">
      <alignment vertical="bottom"/>
    </xf>
    <xf borderId="0" fillId="6" fontId="3" numFmtId="0" xfId="0" applyAlignment="1" applyFont="1">
      <alignment horizontal="right" vertical="bottom"/>
    </xf>
    <xf borderId="0" fillId="2" fontId="1" numFmtId="0" xfId="0" applyAlignment="1" applyFont="1">
      <alignment horizontal="center" readingOrder="0"/>
    </xf>
    <xf borderId="4" fillId="4" fontId="4" numFmtId="0" xfId="0" applyAlignment="1" applyBorder="1" applyFont="1">
      <alignment horizontal="center" shrinkToFit="0" wrapText="1"/>
    </xf>
    <xf borderId="5" fillId="4" fontId="4" numFmtId="0" xfId="0" applyAlignment="1" applyBorder="1" applyFont="1">
      <alignment horizontal="center" shrinkToFit="0" wrapText="1"/>
    </xf>
    <xf borderId="0" fillId="5" fontId="2" numFmtId="0" xfId="0" applyAlignment="1" applyFont="1">
      <alignment horizontal="right" vertical="bottom"/>
    </xf>
    <xf borderId="0" fillId="5" fontId="2" numFmtId="165" xfId="0" applyAlignment="1" applyFont="1" applyNumberFormat="1">
      <alignment horizontal="right" vertical="bottom"/>
    </xf>
    <xf borderId="0" fillId="6" fontId="2" numFmtId="0" xfId="0" applyAlignment="1" applyFont="1">
      <alignment horizontal="right" vertical="bottom"/>
    </xf>
    <xf borderId="0" fillId="6" fontId="2" numFmtId="165" xfId="0" applyAlignment="1" applyFont="1" applyNumberFormat="1">
      <alignment horizontal="right" vertical="bottom"/>
    </xf>
    <xf borderId="0" fillId="8" fontId="6" numFmtId="0" xfId="0" applyAlignment="1" applyFill="1" applyFont="1">
      <alignment horizontal="right" vertical="bottom"/>
    </xf>
    <xf borderId="0" fillId="9" fontId="7" numFmtId="0" xfId="0" applyAlignment="1" applyFill="1" applyFont="1">
      <alignment horizontal="right" vertical="bottom"/>
    </xf>
    <xf borderId="0" fillId="9" fontId="7" numFmtId="165" xfId="0" applyAlignment="1" applyFont="1" applyNumberFormat="1">
      <alignment horizontal="right" vertical="bottom"/>
    </xf>
    <xf borderId="0" fillId="6" fontId="2" numFmtId="0" xfId="0" applyAlignment="1" applyFont="1">
      <alignment vertical="bottom"/>
    </xf>
    <xf borderId="3" fillId="5" fontId="3" numFmtId="0" xfId="0" applyAlignment="1" applyBorder="1" applyFont="1">
      <alignment vertical="bottom"/>
    </xf>
    <xf borderId="0" fillId="5" fontId="2" numFmtId="165" xfId="0" applyAlignment="1" applyFont="1" applyNumberFormat="1">
      <alignment vertical="bottom"/>
    </xf>
    <xf borderId="3" fillId="6" fontId="3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0" fillId="5" fontId="2" numFmtId="166" xfId="0" applyAlignment="1" applyFont="1" applyNumberFormat="1">
      <alignment horizontal="right" vertical="bottom"/>
    </xf>
    <xf borderId="0" fillId="10" fontId="8" numFmtId="0" xfId="0" applyAlignment="1" applyFill="1" applyFont="1">
      <alignment vertical="bottom"/>
    </xf>
    <xf borderId="0" fillId="6" fontId="2" numFmtId="166" xfId="0" applyAlignment="1" applyFont="1" applyNumberFormat="1">
      <alignment horizontal="right" vertical="bottom"/>
    </xf>
    <xf borderId="0" fillId="8" fontId="9" numFmtId="0" xfId="0" applyAlignment="1" applyFont="1">
      <alignment vertical="bottom"/>
    </xf>
    <xf borderId="0" fillId="9" fontId="7" numFmtId="0" xfId="0" applyAlignment="1" applyFont="1">
      <alignment vertical="bottom"/>
    </xf>
    <xf borderId="6" fillId="11" fontId="10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0" fillId="0" fontId="11" numFmtId="166" xfId="0" applyFont="1" applyNumberFormat="1"/>
    <xf borderId="0" fillId="0" fontId="11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1">
    <tableStyle count="3" pivot="0" name="Summary-style">
      <tableStyleElement dxfId="1" type="headerRow"/>
      <tableStyleElement dxfId="2" type="firstRowStripe"/>
      <tableStyleElement dxfId="3" type="secondRowStripe"/>
    </tableStyle>
    <tableStyle count="3" pivot="0" name="Summary-style 2">
      <tableStyleElement dxfId="1" type="headerRow"/>
      <tableStyleElement dxfId="2" type="firstRowStripe"/>
      <tableStyleElement dxfId="3" type="secondRowStripe"/>
    </tableStyle>
    <tableStyle count="3" pivot="0" name="Summary-style 3">
      <tableStyleElement dxfId="1" type="headerRow"/>
      <tableStyleElement dxfId="2" type="firstRowStripe"/>
      <tableStyleElement dxfId="3" type="secondRowStripe"/>
    </tableStyle>
    <tableStyle count="3" pivot="0" name="Summary-style 4">
      <tableStyleElement dxfId="1" type="headerRow"/>
      <tableStyleElement dxfId="2" type="firstRowStripe"/>
      <tableStyleElement dxfId="3" type="secondRowStripe"/>
    </tableStyle>
    <tableStyle count="3" pivot="0" name="Summary-style 5">
      <tableStyleElement dxfId="1" type="headerRow"/>
      <tableStyleElement dxfId="2" type="firstRowStripe"/>
      <tableStyleElement dxfId="3" type="secondRowStripe"/>
    </tableStyle>
    <tableStyle count="3" pivot="0" name="All Data-style">
      <tableStyleElement dxfId="1" type="headerRow"/>
      <tableStyleElement dxfId="2" type="firstRowStripe"/>
      <tableStyleElement dxfId="3" type="secondRowStripe"/>
    </tableStyle>
    <tableStyle count="3" pivot="0" name="Team Alpha-style">
      <tableStyleElement dxfId="1" type="headerRow"/>
      <tableStyleElement dxfId="5" type="firstRowStripe"/>
      <tableStyleElement dxfId="3" type="secondRowStripe"/>
    </tableStyle>
    <tableStyle count="3" pivot="0" name="Team Beta-style">
      <tableStyleElement dxfId="1" type="headerRow"/>
      <tableStyleElement dxfId="5" type="firstRowStripe"/>
      <tableStyleElement dxfId="3" type="secondRowStripe"/>
    </tableStyle>
    <tableStyle count="3" pivot="0" name="Team Gamma-style">
      <tableStyleElement dxfId="1" type="headerRow"/>
      <tableStyleElement dxfId="5" type="firstRowStripe"/>
      <tableStyleElement dxfId="3" type="secondRowStripe"/>
    </tableStyle>
    <tableStyle count="3" pivot="0" name="Team Delta-style">
      <tableStyleElement dxfId="1" type="headerRow"/>
      <tableStyleElement dxfId="5" type="firstRowStripe"/>
      <tableStyleElement dxfId="3" type="secondRowStripe"/>
    </tableStyle>
    <tableStyle count="3" pivot="0" name="Team Epsilon-style">
      <tableStyleElement dxfId="1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G14" displayName="Table_1" name="Table_1" id="1">
  <tableColumns count="7">
    <tableColumn name="Task Type" id="1"/>
    <tableColumn name="Team Alpha" id="2"/>
    <tableColumn name="Team Beta" id="3"/>
    <tableColumn name="Team Gamma" id="4"/>
    <tableColumn name="Team Delta" id="5"/>
    <tableColumn name="Team Epsilon" id="6"/>
    <tableColumn name="Overall" id="7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ref="A21:G29" displayName="Table_2" name="Table_2" id="2">
  <tableColumns count="7">
    <tableColumn name="Task Type" id="1"/>
    <tableColumn name="Team Alpha" id="2"/>
    <tableColumn name="Team Beta" id="3"/>
    <tableColumn name="Team Gamma" id="4"/>
    <tableColumn name="Team Delta" id="5"/>
    <tableColumn name="Team Epsilon" id="6"/>
    <tableColumn name="Overall" id="7"/>
  </tableColumns>
  <tableStyleInfo name="Summary-style 2" showColumnStripes="0" showFirstColumn="1" showLastColumn="1" showRowStripes="1"/>
</table>
</file>

<file path=xl/tables/table3.xml><?xml version="1.0" encoding="utf-8"?>
<table xmlns="http://schemas.openxmlformats.org/spreadsheetml/2006/main" ref="A33:E42" displayName="Table_3" name="Table_3" id="3">
  <tableColumns count="5">
    <tableColumn name="Metric" id="1"/>
    <tableColumn name="Older Week" id="2"/>
    <tableColumn name="Recent Week" id="3"/>
    <tableColumn name="Change" id="4"/>
    <tableColumn name="Change %" id="5"/>
  </tableColumns>
  <tableStyleInfo name="Summary-style 3" showColumnStripes="0" showFirstColumn="1" showLastColumn="1" showRowStripes="1"/>
</table>
</file>

<file path=xl/tables/table4.xml><?xml version="1.0" encoding="utf-8"?>
<table xmlns="http://schemas.openxmlformats.org/spreadsheetml/2006/main" ref="A45:H50" displayName="Table_4" name="Table_4" id="4">
  <tableColumns count="8">
    <tableColumn name="Team" id="1"/>
    <tableColumn name="Older Tasks" id="2"/>
    <tableColumn name="Recent Tasks" id="3"/>
    <tableColumn name="WoW Change" id="4"/>
    <tableColumn name="WoW Change %" id="5"/>
    <tableColumn name="Older SLA %" id="6"/>
    <tableColumn name="Recent SLA %" id="7"/>
    <tableColumn name="SLA Change" id="8"/>
  </tableColumns>
  <tableStyleInfo name="Summary-style 4" showColumnStripes="0" showFirstColumn="1" showLastColumn="1" showRowStripes="1"/>
</table>
</file>

<file path=xl/tables/table5.xml><?xml version="1.0" encoding="utf-8"?>
<table xmlns="http://schemas.openxmlformats.org/spreadsheetml/2006/main" ref="A53:F57" displayName="Table_5" name="Table_5" id="5">
  <tableColumns count="6">
    <tableColumn name="Task Type" id="1"/>
    <tableColumn name="Older Tasks" id="2"/>
    <tableColumn name="Recent Tasks" id="3"/>
    <tableColumn name="WoW Change" id="4"/>
    <tableColumn name="WoW Change %" id="5"/>
    <tableColumn name="Recent Volume Share" id="6"/>
  </tableColumns>
  <tableStyleInfo name="Summary-style 5" showColumnStripes="0" showFirstColumn="1" showLastColumn="1" showRowStripes="1"/>
</table>
</file>

<file path=xl/tables/table6.xml><?xml version="1.0" encoding="utf-8"?>
<table xmlns="http://schemas.openxmlformats.org/spreadsheetml/2006/main" ref="A1:F101" displayName="Table_6" name="Table_6" id="6">
  <tableColumns count="6">
    <tableColumn name="Team" id="1"/>
    <tableColumn name="Task Type" id="2"/>
    <tableColumn name="Task ID" id="3"/>
    <tableColumn name="Created Date" id="4"/>
    <tableColumn name="Completed Date" id="5"/>
    <tableColumn name="SLA Breached" id="6"/>
  </tableColumns>
  <tableStyleInfo name="All Data-style" showColumnStripes="0" showFirstColumn="1" showLastColumn="1" showRowStripes="1"/>
</table>
</file>

<file path=xl/tables/table7.xml><?xml version="1.0" encoding="utf-8"?>
<table xmlns="http://schemas.openxmlformats.org/spreadsheetml/2006/main" ref="A1:F20" displayName="Table_7" name="Table_7" id="7">
  <tableColumns count="6">
    <tableColumn name="Team" id="1"/>
    <tableColumn name="Task Type" id="2"/>
    <tableColumn name="Task ID" id="3"/>
    <tableColumn name="Created Date" id="4"/>
    <tableColumn name="Completed Date" id="5"/>
    <tableColumn name="SLA Breached" id="6"/>
  </tableColumns>
  <tableStyleInfo name="Team Alpha-style" showColumnStripes="0" showFirstColumn="1" showLastColumn="1" showRowStripes="1"/>
</table>
</file>

<file path=xl/tables/table8.xml><?xml version="1.0" encoding="utf-8"?>
<table xmlns="http://schemas.openxmlformats.org/spreadsheetml/2006/main" ref="A1:F20" displayName="Table_8" name="Table_8" id="8">
  <tableColumns count="6">
    <tableColumn name="Team" id="1"/>
    <tableColumn name="Task Type" id="2"/>
    <tableColumn name="Task ID" id="3"/>
    <tableColumn name="Created Date" id="4"/>
    <tableColumn name="Completed Date" id="5"/>
    <tableColumn name="SLA Breached" id="6"/>
  </tableColumns>
  <tableStyleInfo name="Team Beta-style" showColumnStripes="0" showFirstColumn="1" showLastColumn="1" showRowStripes="1"/>
</table>
</file>

<file path=xl/tables/table9.xml><?xml version="1.0" encoding="utf-8"?>
<table xmlns="http://schemas.openxmlformats.org/spreadsheetml/2006/main" ref="A1:F20" displayName="Table_9" name="Table_9" id="9">
  <tableColumns count="6">
    <tableColumn name="Team" id="1"/>
    <tableColumn name="Task Type" id="2"/>
    <tableColumn name="Task ID" id="3"/>
    <tableColumn name="Created Date" id="4"/>
    <tableColumn name="Completed Date" id="5"/>
    <tableColumn name="SLA Breached" id="6"/>
  </tableColumns>
  <tableStyleInfo name="Team Gamma-style" showColumnStripes="0" showFirstColumn="1" showLastColumn="1" showRowStripes="1"/>
</table>
</file>

<file path=xl/tables/table10.xml><?xml version="1.0" encoding="utf-8"?>
<table xmlns="http://schemas.openxmlformats.org/spreadsheetml/2006/main" ref="A1:F22" displayName="Table_10" name="Table_10" id="10">
  <tableColumns count="6">
    <tableColumn name="Team" id="1"/>
    <tableColumn name="Task Type" id="2"/>
    <tableColumn name="Task ID" id="3"/>
    <tableColumn name="Created Date" id="4"/>
    <tableColumn name="Completed Date" id="5"/>
    <tableColumn name="SLA Breached" id="6"/>
  </tableColumns>
  <tableStyleInfo name="Team Delta-style" showColumnStripes="0" showFirstColumn="1" showLastColumn="1" showRowStripes="1"/>
</table>
</file>

<file path=xl/tables/table11.xml><?xml version="1.0" encoding="utf-8"?>
<table xmlns="http://schemas.openxmlformats.org/spreadsheetml/2006/main" ref="A1:F23" displayName="Table_11" name="Table_11" id="11">
  <tableColumns count="6">
    <tableColumn name="Team" id="1"/>
    <tableColumn name="Task Type" id="2"/>
    <tableColumn name="Task ID" id="3"/>
    <tableColumn name="Created Date" id="4"/>
    <tableColumn name="Completed Date" id="5"/>
    <tableColumn name="SLA Breached" id="6"/>
  </tableColumns>
  <tableStyleInfo name="Team Epsil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7.86"/>
    <col customWidth="1" min="3" max="3" width="18.0"/>
    <col customWidth="1" min="4" max="4" width="15.0"/>
    <col customWidth="1" min="5" max="5" width="19.29"/>
    <col customWidth="1" min="6" max="6" width="18.86"/>
    <col customWidth="1" min="7" max="7" width="18.43"/>
    <col customWidth="1" min="8" max="8" width="24.43"/>
    <col customWidth="1" min="9" max="36" width="8.71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3" t="s">
        <v>1</v>
      </c>
      <c r="B3" s="4">
        <v>46209.0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3" t="s">
        <v>2</v>
      </c>
      <c r="B4" s="4">
        <v>46215.0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6" t="s">
        <v>3</v>
      </c>
      <c r="B6" s="7" t="s">
        <v>4</v>
      </c>
      <c r="C6" s="8" t="s">
        <v>5</v>
      </c>
      <c r="D6" s="7" t="s">
        <v>6</v>
      </c>
      <c r="E6" s="8" t="s">
        <v>7</v>
      </c>
      <c r="F6" s="9" t="s">
        <v>8</v>
      </c>
      <c r="G6" s="10" t="s">
        <v>9</v>
      </c>
      <c r="H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11" t="s">
        <v>10</v>
      </c>
      <c r="B7" s="12">
        <f>COUNTIFS('All Data'!$B$2:$B$101,$A54,'All Data'!$E$2:$E$101,"&gt;="&amp;$B$3,'All Data'!$E$2:$E$101,"&lt;"&amp;$B$4+1, 'All Data'!$A$2:$A$101,$A$46)</f>
        <v>3</v>
      </c>
      <c r="C7" s="12">
        <f>COUNTIFS('All Data'!$B$2:$B$101,$A54,'All Data'!$E$2:$E$101,"&gt;="&amp;$B$3,'All Data'!$E$2:$E$101,"&lt;"&amp;$B$4+1, 'All Data'!$A$2:$A$101,$A$47)</f>
        <v>3</v>
      </c>
      <c r="D7" s="12">
        <f>COUNTIFS('All Data'!$B$2:$B$101,$A54,'All Data'!$E$2:$E$101,"&gt;="&amp;$B$3,'All Data'!$E$2:$E$101,"&lt;"&amp;$B$4+1, 'All Data'!$A$2:$A$101,$A$48)</f>
        <v>2</v>
      </c>
      <c r="E7" s="12">
        <f>COUNTIFS('All Data'!$B$2:$B$101,$A54,'All Data'!$E$2:$E$101,"&gt;="&amp;$B$3,'All Data'!$E$2:$E$101,"&lt;"&amp;$B$4+1, 'All Data'!$A$2:$A$101,$A$49)</f>
        <v>4</v>
      </c>
      <c r="F7" s="12">
        <f>COUNTIFS('All Data'!$B$2:$B$101,$A54,'All Data'!$E$2:$E$101,"&gt;="&amp;$B$3,'All Data'!$E$2:$E$101,"&lt;"&amp;$B$4+1, 'All Data'!$A$2:$A$101,$A$50)</f>
        <v>3</v>
      </c>
      <c r="G7" s="12">
        <f t="shared" ref="G7:G10" si="1">sum(B7:F7)</f>
        <v>15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13" t="s">
        <v>11</v>
      </c>
      <c r="B8" s="12">
        <f>COUNTIFS('All Data'!$B$2:$B$101,$A55,'All Data'!$E$2:$E$101,"&gt;="&amp;$B$3,'All Data'!$E$2:$E$101,"&lt;"&amp;$B$4+1, 'All Data'!$A$2:$A$101,$A$46)</f>
        <v>3</v>
      </c>
      <c r="C8" s="12">
        <f>COUNTIFS('All Data'!$B$2:$B$101,$A55,'All Data'!$E$2:$E$101,"&gt;="&amp;$B$3,'All Data'!$E$2:$E$101,"&lt;"&amp;$B$4+1, 'All Data'!$A$2:$A$101,$A$47)</f>
        <v>2</v>
      </c>
      <c r="D8" s="12">
        <f>COUNTIFS('All Data'!$B$2:$B$101,$A55,'All Data'!$E$2:$E$101,"&gt;="&amp;$B$3,'All Data'!$E$2:$E$101,"&lt;"&amp;$B$4+1, 'All Data'!$A$2:$A$101,$A$48)</f>
        <v>3</v>
      </c>
      <c r="E8" s="12">
        <f>COUNTIFS('All Data'!$B$2:$B$101,$A55,'All Data'!$E$2:$E$101,"&gt;="&amp;$B$3,'All Data'!$E$2:$E$101,"&lt;"&amp;$B$4+1, 'All Data'!$A$2:$A$101,$A$49)</f>
        <v>3</v>
      </c>
      <c r="F8" s="12">
        <f>COUNTIFS('All Data'!$B$2:$B$101,$A55,'All Data'!$E$2:$E$101,"&gt;="&amp;$B$3,'All Data'!$E$2:$E$101,"&lt;"&amp;$B$4+1, 'All Data'!$A$2:$A$101,$A$50)</f>
        <v>2</v>
      </c>
      <c r="G8" s="12">
        <f t="shared" si="1"/>
        <v>13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11" t="s">
        <v>12</v>
      </c>
      <c r="B9" s="12">
        <f>COUNTIFS('All Data'!$B$2:$B$101,$A56,'All Data'!$E$2:$E$101,"&gt;="&amp;$B$3,'All Data'!$E$2:$E$101,"&lt;"&amp;$B$4+1, 'All Data'!$A$2:$A$101,$A$46)</f>
        <v>3</v>
      </c>
      <c r="C9" s="12">
        <f>COUNTIFS('All Data'!$B$2:$B$101,$A56,'All Data'!$E$2:$E$101,"&gt;="&amp;$B$3,'All Data'!$E$2:$E$101,"&lt;"&amp;$B$4+1, 'All Data'!$A$2:$A$101,$A$47)</f>
        <v>2</v>
      </c>
      <c r="D9" s="12">
        <f>COUNTIFS('All Data'!$B$2:$B$101,$A56,'All Data'!$E$2:$E$101,"&gt;="&amp;$B$3,'All Data'!$E$2:$E$101,"&lt;"&amp;$B$4+1, 'All Data'!$A$2:$A$101,$A$48)</f>
        <v>2</v>
      </c>
      <c r="E9" s="12">
        <f>COUNTIFS('All Data'!$B$2:$B$101,$A56,'All Data'!$E$2:$E$101,"&gt;="&amp;$B$3,'All Data'!$E$2:$E$101,"&lt;"&amp;$B$4+1, 'All Data'!$A$2:$A$101,$A$49)</f>
        <v>2</v>
      </c>
      <c r="F9" s="12">
        <f>COUNTIFS('All Data'!$B$2:$B$101,$A56,'All Data'!$E$2:$E$101,"&gt;="&amp;$B$3,'All Data'!$E$2:$E$101,"&lt;"&amp;$B$4+1, 'All Data'!$A$2:$A$101,$A$50)</f>
        <v>3</v>
      </c>
      <c r="G9" s="12">
        <f t="shared" si="1"/>
        <v>12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13" t="s">
        <v>13</v>
      </c>
      <c r="B10" s="12">
        <f>COUNTIFS('All Data'!$B$2:$B$101,$A57,'All Data'!$E$2:$E$101,"&gt;="&amp;$B$3,'All Data'!$E$2:$E$101,"&lt;"&amp;$B$4+1, 'All Data'!$A$2:$A$101,$A$46)</f>
        <v>3</v>
      </c>
      <c r="C10" s="12">
        <f>COUNTIFS('All Data'!$B$2:$B$101,$A57,'All Data'!$E$2:$E$101,"&gt;="&amp;$B$3,'All Data'!$E$2:$E$101,"&lt;"&amp;$B$4+1, 'All Data'!$A$2:$A$101,$A$47)</f>
        <v>4</v>
      </c>
      <c r="D10" s="12">
        <f>COUNTIFS('All Data'!$B$2:$B$101,$A57,'All Data'!$E$2:$E$101,"&gt;="&amp;$B$3,'All Data'!$E$2:$E$101,"&lt;"&amp;$B$4+1, 'All Data'!$A$2:$A$101,$A$48)</f>
        <v>3</v>
      </c>
      <c r="E10" s="12">
        <f>COUNTIFS('All Data'!$B$2:$B$101,$A57,'All Data'!$E$2:$E$101,"&gt;="&amp;$B$3,'All Data'!$E$2:$E$101,"&lt;"&amp;$B$4+1, 'All Data'!$A$2:$A$101,$A$49)</f>
        <v>2</v>
      </c>
      <c r="F10" s="12">
        <f>COUNTIFS('All Data'!$B$2:$B$101,$A57,'All Data'!$E$2:$E$101,"&gt;="&amp;$B$3,'All Data'!$E$2:$E$101,"&lt;"&amp;$B$4+1, 'All Data'!$A$2:$A$101,$A$50)</f>
        <v>4</v>
      </c>
      <c r="G10" s="12">
        <f t="shared" si="1"/>
        <v>16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14"/>
      <c r="B11" s="14"/>
      <c r="C11" s="14"/>
      <c r="D11" s="14"/>
      <c r="E11" s="14"/>
      <c r="F11" s="14"/>
      <c r="G11" s="14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15" t="s">
        <v>14</v>
      </c>
      <c r="B12" s="15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16" t="s">
        <v>15</v>
      </c>
      <c r="B13" s="17">
        <f>COUNTIFS('All Data'!$E$2:$E$101,"&gt;="&amp;$B$3,'All Data'!$E$2:$E$101,"&lt;"&amp;$B$4+1,'All Data'!$F$2:$F$101,"No", 'All Data'!$A$2:$A$101,$A46)</f>
        <v>2</v>
      </c>
      <c r="C13" s="17">
        <f>COUNTIFS('All Data'!$E$2:$E$101,"&gt;="&amp;$B$3,'All Data'!$E$2:$E$101,"&lt;"&amp;$B$4+1,'All Data'!$F$2:$F$101,"No", 'All Data'!$A$2:$A$101,$A47)</f>
        <v>3</v>
      </c>
      <c r="D13" s="17">
        <f>COUNTIFS('All Data'!$E$2:$E$101,"&gt;="&amp;$B$3,'All Data'!$E$2:$E$101,"&lt;"&amp;$B$4+1,'All Data'!$F$2:$F$101,"No", 'All Data'!$A$2:$A$101,$A48)</f>
        <v>2</v>
      </c>
      <c r="E13" s="17">
        <f>COUNTIFS('All Data'!$E$2:$E$101,"&gt;="&amp;$B$3,'All Data'!$E$2:$E$101,"&lt;"&amp;$B$4+1,'All Data'!$F$2:$F$101,"No", 'All Data'!$A$2:$A$101,$A49)</f>
        <v>1</v>
      </c>
      <c r="F13" s="17">
        <f>COUNTIFS('All Data'!$E$2:$E$101,"&gt;="&amp;$B$3,'All Data'!$E$2:$E$101,"&lt;"&amp;$B$4+1,'All Data'!$F$2:$F$101,"No", 'All Data'!$A$2:$A$101,$A50)</f>
        <v>3</v>
      </c>
      <c r="G13" s="17">
        <f t="shared" ref="G13:G14" si="2">sum(B13:F13)</f>
        <v>11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16" t="s">
        <v>16</v>
      </c>
      <c r="B14" s="17">
        <f>COUNTIFS('All Data'!$E$2:$E$101,"&gt;="&amp;$B$3,'All Data'!$E$2:$E$101,"&lt;"&amp;$B$4+1,'All Data'!$F$2:$F$101,"Yes", 'All Data'!$A$2:$A$101,$A46)</f>
        <v>1</v>
      </c>
      <c r="C14" s="17">
        <f>COUNTIFS('All Data'!$E$2:$E$101,"&gt;="&amp;$B$3,'All Data'!$E$2:$E$101,"&lt;"&amp;$B$4+1,'All Data'!$F$2:$F$101,"Yes", 'All Data'!$A$2:$A$101,$A47)</f>
        <v>1</v>
      </c>
      <c r="D14" s="17">
        <f>COUNTIFS('All Data'!$E$2:$E$101,"&gt;="&amp;$B$3,'All Data'!$E$2:$E$101,"&lt;"&amp;$B$4+1,'All Data'!$F$2:$F$101,"Yes", 'All Data'!$A$2:$A$101,$A48)</f>
        <v>1</v>
      </c>
      <c r="E14" s="17">
        <f>COUNTIFS('All Data'!$E$2:$E$101,"&gt;="&amp;$B$3,'All Data'!$E$2:$E$101,"&lt;"&amp;$B$4+1,'All Data'!$F$2:$F$101,"Yes", 'All Data'!$A$2:$A$101,$A49)</f>
        <v>1</v>
      </c>
      <c r="F14" s="17">
        <f>COUNTIFS('All Data'!$E$2:$E$101,"&gt;="&amp;$B$3,'All Data'!$E$2:$E$101,"&lt;"&amp;$B$4+1,'All Data'!$F$2:$F$101,"Yes", 'All Data'!$A$2:$A$101,$A50)</f>
        <v>1</v>
      </c>
      <c r="G14" s="17">
        <f t="shared" si="2"/>
        <v>5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1" t="s">
        <v>0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2"/>
      <c r="B17" s="2"/>
      <c r="C17" s="2"/>
      <c r="D17" s="2"/>
      <c r="E17" s="2"/>
      <c r="F17" s="2"/>
      <c r="G17" s="2"/>
      <c r="H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15.75" customHeight="1">
      <c r="A18" s="18" t="s">
        <v>17</v>
      </c>
      <c r="B18" s="4">
        <v>46202.0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15.75" customHeight="1">
      <c r="A19" s="3" t="s">
        <v>18</v>
      </c>
      <c r="B19" s="4">
        <v>46208.0</v>
      </c>
      <c r="C19" s="2"/>
      <c r="D19" s="2"/>
      <c r="E19" s="2"/>
      <c r="F19" s="2"/>
      <c r="G19" s="2"/>
      <c r="H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15.75" customHeight="1">
      <c r="A21" s="6" t="s">
        <v>3</v>
      </c>
      <c r="B21" s="7" t="s">
        <v>4</v>
      </c>
      <c r="C21" s="8" t="s">
        <v>5</v>
      </c>
      <c r="D21" s="7" t="s">
        <v>6</v>
      </c>
      <c r="E21" s="8" t="s">
        <v>7</v>
      </c>
      <c r="F21" s="9" t="s">
        <v>8</v>
      </c>
      <c r="G21" s="10" t="s">
        <v>9</v>
      </c>
      <c r="H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15.75" customHeight="1">
      <c r="A22" s="11" t="s">
        <v>10</v>
      </c>
      <c r="B22" s="12">
        <f>COUNTIFS('All Data'!$B$2:$B$101,$A54,'All Data'!$E$2:$E$101,"&gt;="&amp;$B$18,'All Data'!$E$2:$E$101,"&lt;"&amp;$B$19+1, 'All Data'!$A$2:$A$101,$A46)</f>
        <v>2</v>
      </c>
      <c r="C22" s="19">
        <f>COUNTIFS('All Data'!$B$2:$B$101,$A54,'All Data'!$E$2:$E$101,"&gt;="&amp;$B$18,'All Data'!$E$2:$E$101,"&lt;"&amp;$B$19+1, 'All Data'!$A$2:$A$101,$A47)</f>
        <v>2</v>
      </c>
      <c r="D22" s="12">
        <f>COUNTIFS('All Data'!$B$2:$B$101,$A54,'All Data'!$E$2:$E$101,"&gt;="&amp;$B$18,'All Data'!$E$2:$E$101,"&lt;"&amp;$B$19+1, 'All Data'!$A$2:$A$101,$A48)</f>
        <v>2</v>
      </c>
      <c r="E22" s="19">
        <f>COUNTIFS('All Data'!$B$2:$B$101,$A54,'All Data'!$E$2:$E$101,"&gt;="&amp;$B$18,'All Data'!$E$2:$E$101,"&lt;"&amp;$B$19+1, 'All Data'!$A$2:$A$101,$A49)</f>
        <v>3</v>
      </c>
      <c r="F22" s="12">
        <f>COUNTIFS('All Data'!$B$2:$B$101,$A54,'All Data'!$E$2:$E$101,"&gt;="&amp;$B$18,'All Data'!$E$2:$E$101,"&lt;"&amp;$B$19+1, 'All Data'!$A$2:$A$101,$A50)</f>
        <v>2</v>
      </c>
      <c r="G22" s="12">
        <f t="shared" ref="G22:G25" si="3">sum(B22:F22)</f>
        <v>11</v>
      </c>
      <c r="H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15.75" customHeight="1">
      <c r="A23" s="13" t="s">
        <v>11</v>
      </c>
      <c r="B23" s="12">
        <f>COUNTIFS('All Data'!$B$2:$B$101,$A55,'All Data'!$E$2:$E$101,"&gt;="&amp;$B$18,'All Data'!$E$2:$E$101,"&lt;"&amp;$B$19+1, 'All Data'!$A$2:$A$101,$A46)</f>
        <v>2</v>
      </c>
      <c r="C23" s="19">
        <f>COUNTIFS('All Data'!$B$2:$B$101,$A55,'All Data'!$E$2:$E$101,"&gt;="&amp;$B$18,'All Data'!$E$2:$E$101,"&lt;"&amp;$B$19+1, 'All Data'!$A$2:$A$101,$A47)</f>
        <v>1</v>
      </c>
      <c r="D23" s="12">
        <f>COUNTIFS('All Data'!$B$2:$B$101,$A55,'All Data'!$E$2:$E$101,"&gt;="&amp;$B$18,'All Data'!$E$2:$E$101,"&lt;"&amp;$B$19+1, 'All Data'!$A$2:$A$101,$A48)</f>
        <v>2</v>
      </c>
      <c r="E23" s="19">
        <f>COUNTIFS('All Data'!$B$2:$B$101,$A55,'All Data'!$E$2:$E$101,"&gt;="&amp;$B$18,'All Data'!$E$2:$E$101,"&lt;"&amp;$B$19+1, 'All Data'!$A$2:$A$101,$A49)</f>
        <v>2</v>
      </c>
      <c r="F23" s="12">
        <f>COUNTIFS('All Data'!$B$2:$B$101,$A55,'All Data'!$E$2:$E$101,"&gt;="&amp;$B$18,'All Data'!$E$2:$E$101,"&lt;"&amp;$B$19+1, 'All Data'!$A$2:$A$101,$A50)</f>
        <v>3</v>
      </c>
      <c r="G23" s="12">
        <f t="shared" si="3"/>
        <v>10</v>
      </c>
      <c r="H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15.75" customHeight="1">
      <c r="A24" s="11" t="s">
        <v>12</v>
      </c>
      <c r="B24" s="12">
        <f>COUNTIFS('All Data'!$B$2:$B$101,$A56,'All Data'!$E$2:$E$101,"&gt;="&amp;$B$18,'All Data'!$E$2:$E$101,"&lt;"&amp;$B$19+1, 'All Data'!$A$2:$A$101,$A46)</f>
        <v>1</v>
      </c>
      <c r="C24" s="19">
        <f>COUNTIFS('All Data'!$B$2:$B$101,$A56,'All Data'!$E$2:$E$101,"&gt;="&amp;$B$18,'All Data'!$E$2:$E$101,"&lt;"&amp;$B$19+1, 'All Data'!$A$2:$A$101,$A47)</f>
        <v>2</v>
      </c>
      <c r="D24" s="12">
        <f>COUNTIFS('All Data'!$B$2:$B$101,$A56,'All Data'!$E$2:$E$101,"&gt;="&amp;$B$18,'All Data'!$E$2:$E$101,"&lt;"&amp;$B$19+1, 'All Data'!$A$2:$A$101,$A48)</f>
        <v>2</v>
      </c>
      <c r="E24" s="19">
        <f>COUNTIFS('All Data'!$B$2:$B$101,$A56,'All Data'!$E$2:$E$101,"&gt;="&amp;$B$18,'All Data'!$E$2:$E$101,"&lt;"&amp;$B$19+1, 'All Data'!$A$2:$A$101,$A49)</f>
        <v>2</v>
      </c>
      <c r="F24" s="12">
        <f>COUNTIFS('All Data'!$B$2:$B$101,$A56,'All Data'!$E$2:$E$101,"&gt;="&amp;$B$18,'All Data'!$E$2:$E$101,"&lt;"&amp;$B$19+1, 'All Data'!$A$2:$A$101,$A50)</f>
        <v>2</v>
      </c>
      <c r="G24" s="12">
        <f t="shared" si="3"/>
        <v>9</v>
      </c>
      <c r="H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15.75" customHeight="1">
      <c r="A25" s="13" t="s">
        <v>13</v>
      </c>
      <c r="B25" s="12">
        <f>COUNTIFS('All Data'!$B$2:$B$101,$A57,'All Data'!$E$2:$E$101,"&gt;="&amp;$B$18,'All Data'!$E$2:$E$101,"&lt;"&amp;$B$19+1, 'All Data'!$A$2:$A$101,$A46)</f>
        <v>2</v>
      </c>
      <c r="C25" s="19">
        <f>COUNTIFS('All Data'!$B$2:$B$101,$A57,'All Data'!$E$2:$E$101,"&gt;="&amp;$B$18,'All Data'!$E$2:$E$101,"&lt;"&amp;$B$19+1, 'All Data'!$A$2:$A$101,$A47)</f>
        <v>3</v>
      </c>
      <c r="D25" s="12">
        <f>COUNTIFS('All Data'!$B$2:$B$101,$A57,'All Data'!$E$2:$E$101,"&gt;="&amp;$B$18,'All Data'!$E$2:$E$101,"&lt;"&amp;$B$19+1, 'All Data'!$A$2:$A$101,$A48)</f>
        <v>3</v>
      </c>
      <c r="E25" s="19">
        <f>COUNTIFS('All Data'!$B$2:$B$101,$A57,'All Data'!$E$2:$E$101,"&gt;="&amp;$B$18,'All Data'!$E$2:$E$101,"&lt;"&amp;$B$19+1, 'All Data'!$A$2:$A$101,$A49)</f>
        <v>3</v>
      </c>
      <c r="F25" s="12">
        <f>COUNTIFS('All Data'!$B$2:$B$101,$A57,'All Data'!$E$2:$E$101,"&gt;="&amp;$B$18,'All Data'!$E$2:$E$101,"&lt;"&amp;$B$19+1, 'All Data'!$A$2:$A$101,$A50)</f>
        <v>3</v>
      </c>
      <c r="G25" s="12">
        <f t="shared" si="3"/>
        <v>14</v>
      </c>
      <c r="H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15.75" customHeight="1">
      <c r="A26" s="14"/>
      <c r="B26" s="14"/>
      <c r="C26" s="14"/>
      <c r="D26" s="14"/>
      <c r="E26" s="14"/>
      <c r="F26" s="14"/>
      <c r="G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15.75" customHeight="1">
      <c r="A27" s="15" t="s">
        <v>14</v>
      </c>
      <c r="B27" s="15" t="s">
        <v>4</v>
      </c>
      <c r="C27" s="15" t="s">
        <v>5</v>
      </c>
      <c r="D27" s="15" t="s">
        <v>6</v>
      </c>
      <c r="E27" s="15" t="s">
        <v>7</v>
      </c>
      <c r="F27" s="15" t="s">
        <v>8</v>
      </c>
      <c r="G27" s="15" t="s">
        <v>9</v>
      </c>
      <c r="H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15.75" customHeight="1">
      <c r="A28" s="16" t="s">
        <v>15</v>
      </c>
      <c r="B28" s="17">
        <f>COUNTIFS('All Data'!$E$2:$E$101,"&gt;="&amp;$B$18,'All Data'!$E$2:$E$101,"&lt;"&amp;$B$19+1,'All Data'!$F$2:$F$101,"No", 'All Data'!$A$2:$A$101,$A46)</f>
        <v>1</v>
      </c>
      <c r="C28" s="17">
        <f>COUNTIFS('All Data'!$E$2:$E$101,"&gt;="&amp;$B$18,'All Data'!$E$2:$E$101,"&lt;"&amp;$B$19+1,'All Data'!$F$2:$F$101,"No", 'All Data'!$A$2:$A$101,$A47)</f>
        <v>2</v>
      </c>
      <c r="D28" s="17">
        <f>COUNTIFS('All Data'!$E$2:$E$101,"&gt;="&amp;$B$18,'All Data'!$E$2:$E$101,"&lt;"&amp;$B$19+1,'All Data'!$F$2:$F$101,"No", 'All Data'!$A$2:$A$101,$A48)</f>
        <v>1</v>
      </c>
      <c r="E28" s="17">
        <f>COUNTIFS('All Data'!$E$2:$E$101,"&gt;="&amp;$B$18,'All Data'!$E$2:$E$101,"&lt;"&amp;$B$19+1,'All Data'!$F$2:$F$101,"No", 'All Data'!$A$2:$A$101,$A49)</f>
        <v>2</v>
      </c>
      <c r="F28" s="17">
        <f>COUNTIFS('All Data'!$E$2:$E$101,"&gt;="&amp;$B$18,'All Data'!$E$2:$E$101,"&lt;"&amp;$B$19+1,'All Data'!$F$2:$F$101,"No", 'All Data'!$A$2:$A$101,$A50)</f>
        <v>1</v>
      </c>
      <c r="G28" s="17">
        <f t="shared" ref="G28:G29" si="4">sum(B28:F28)</f>
        <v>7</v>
      </c>
      <c r="H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15.75" customHeight="1">
      <c r="A29" s="16" t="s">
        <v>16</v>
      </c>
      <c r="B29" s="17">
        <f>COUNTIFS('All Data'!$E$2:$E$101,"&gt;="&amp;$B$18,'All Data'!$E$2:$E$101,"&lt;"&amp;$B$19+1,'All Data'!$F$2:$F$101,"Yes", 'All Data'!$A$2:$A$101,$A46)</f>
        <v>1</v>
      </c>
      <c r="C29" s="17">
        <f>COUNTIFS('All Data'!$E$2:$E$101,"&gt;="&amp;$B$18,'All Data'!$E$2:$E$101,"&lt;"&amp;$B$19+1,'All Data'!$F$2:$F$101,"Yes", 'All Data'!$A$2:$A$101,$A47)</f>
        <v>1</v>
      </c>
      <c r="D29" s="17">
        <f>COUNTIFS('All Data'!$E$2:$E$101,"&gt;="&amp;$B$18,'All Data'!$E$2:$E$101,"&lt;"&amp;$B$19+1,'All Data'!$F$2:$F$101,"Yes", 'All Data'!$A$2:$A$101,$A48)</f>
        <v>2</v>
      </c>
      <c r="E29" s="17">
        <f>COUNTIFS('All Data'!$E$2:$E$101,"&gt;="&amp;$B$18,'All Data'!$E$2:$E$101,"&lt;"&amp;$B$19+1,'All Data'!$F$2:$F$101,"Yes", 'All Data'!$A$2:$A$101,$A49)</f>
        <v>1</v>
      </c>
      <c r="F29" s="17">
        <f>COUNTIFS('All Data'!$E$2:$E$101,"&gt;="&amp;$B$18,'All Data'!$E$2:$E$101,"&lt;"&amp;$B$19+1,'All Data'!$F$2:$F$101,"Yes", 'All Data'!$A$2:$A$101,$A50)</f>
        <v>2</v>
      </c>
      <c r="G29" s="17">
        <f t="shared" si="4"/>
        <v>7</v>
      </c>
      <c r="H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15.75" customHeight="1"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15.75" customHeight="1">
      <c r="A31" s="20" t="s">
        <v>19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15.75" customHeight="1"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6" t="s">
        <v>20</v>
      </c>
      <c r="B33" s="21" t="s">
        <v>21</v>
      </c>
      <c r="C33" s="21" t="s">
        <v>22</v>
      </c>
      <c r="D33" s="21" t="s">
        <v>23</v>
      </c>
      <c r="E33" s="22" t="s">
        <v>24</v>
      </c>
      <c r="F33" s="2"/>
      <c r="G33" s="2"/>
      <c r="H33" s="2"/>
    </row>
    <row r="34">
      <c r="A34" s="11" t="s">
        <v>25</v>
      </c>
      <c r="B34" s="23">
        <f>COUNTIFS('All Data'!$E$2:$E$101,"&gt;="&amp;$B$18,'All Data'!$E$2:$E$101,"&lt;"&amp;$B$19+1)</f>
        <v>44</v>
      </c>
      <c r="C34" s="23">
        <f>COUNTIFS('All Data'!$E$2:$E$101,"&gt;="&amp;$B$3,'All Data'!$E$2:$E$101,"&lt;"&amp;$B$4+1)</f>
        <v>56</v>
      </c>
      <c r="D34" s="23">
        <f t="shared" ref="D34:D42" si="5">C34-B34</f>
        <v>12</v>
      </c>
      <c r="E34" s="24">
        <f t="shared" ref="E34:E40" si="6">IF(B34=0,IF(C34=0,0,1),(C34-B34)/B34)</f>
        <v>0.2727272727</v>
      </c>
      <c r="F34" s="2"/>
      <c r="G34" s="2"/>
      <c r="H34" s="2"/>
    </row>
    <row r="35">
      <c r="A35" s="13" t="s">
        <v>10</v>
      </c>
      <c r="B35" s="25">
        <f>COUNTIFS('All Data'!$E$2:$E$101,"&gt;="&amp;$B$18,'All Data'!$E$2:$E$101,"&lt;"&amp;$B$19+1,'All Data'!$B$2:$B$101,"Quality Review")</f>
        <v>11</v>
      </c>
      <c r="C35" s="25">
        <f>COUNTIFS('All Data'!$E$2:$E$101,"&gt;="&amp;$B$3,'All Data'!$E$2:$E$101,"&lt;"&amp;$B$4+1,'All Data'!$B$2:$B$101,"Quality Review")</f>
        <v>15</v>
      </c>
      <c r="D35" s="25">
        <f t="shared" si="5"/>
        <v>4</v>
      </c>
      <c r="E35" s="26">
        <f t="shared" si="6"/>
        <v>0.3636363636</v>
      </c>
      <c r="F35" s="2"/>
      <c r="G35" s="2"/>
      <c r="H35" s="2"/>
    </row>
    <row r="36">
      <c r="A36" s="11" t="s">
        <v>11</v>
      </c>
      <c r="B36" s="23">
        <f>COUNTIFS('All Data'!$E$2:$E$101,"&gt;="&amp;$B$18,'All Data'!$E$2:$E$101,"&lt;"&amp;$B$19+1,'All Data'!$B$2:$B$101,"Complex Case Review")</f>
        <v>10</v>
      </c>
      <c r="C36" s="23">
        <f>COUNTIFS('All Data'!$E$2:$E$101,"&gt;="&amp;$B$3,'All Data'!$E$2:$E$101,"&lt;"&amp;$B$4+1,'All Data'!$B$2:$B$101,"Complex Case Review")</f>
        <v>13</v>
      </c>
      <c r="D36" s="23">
        <f t="shared" si="5"/>
        <v>3</v>
      </c>
      <c r="E36" s="24">
        <f t="shared" si="6"/>
        <v>0.3</v>
      </c>
      <c r="F36" s="2"/>
      <c r="G36" s="2"/>
      <c r="H36" s="2"/>
    </row>
    <row r="37">
      <c r="A37" s="13" t="s">
        <v>12</v>
      </c>
      <c r="B37" s="25">
        <f>COUNTIFS('All Data'!$E$2:$E$101,"&gt;="&amp;$B$18,'All Data'!$E$2:$E$101,"&lt;"&amp;$B$19+1,'All Data'!$B$2:$B$101,"Process Exception Investigation")</f>
        <v>9</v>
      </c>
      <c r="C37" s="25">
        <f>COUNTIFS('All Data'!$E$2:$E$101,"&gt;="&amp;$B$3,'All Data'!$E$2:$E$101,"&lt;"&amp;$B$4+1,'All Data'!$B$2:$B$101,"Process Exception Investigation")</f>
        <v>12</v>
      </c>
      <c r="D37" s="25">
        <f t="shared" si="5"/>
        <v>3</v>
      </c>
      <c r="E37" s="26">
        <f t="shared" si="6"/>
        <v>0.3333333333</v>
      </c>
      <c r="F37" s="2"/>
      <c r="G37" s="2"/>
      <c r="H37" s="2"/>
    </row>
    <row r="38">
      <c r="A38" s="11" t="s">
        <v>13</v>
      </c>
      <c r="B38" s="23">
        <f>COUNTIFS('All Data'!$E$2:$E$101,"&gt;="&amp;$B$18,'All Data'!$E$2:$E$101,"&lt;"&amp;$B$19+1,'All Data'!$B$2:$B$101,"Priority Escalation Review")</f>
        <v>14</v>
      </c>
      <c r="C38" s="23">
        <f>COUNTIFS('All Data'!$E$2:$E$101,"&gt;="&amp;$B$3,'All Data'!$E$2:$E$101,"&lt;"&amp;$B$4+1,'All Data'!$B$2:$B$101,"Priority Escalation Review")</f>
        <v>16</v>
      </c>
      <c r="D38" s="23">
        <f t="shared" si="5"/>
        <v>2</v>
      </c>
      <c r="E38" s="24">
        <f t="shared" si="6"/>
        <v>0.1428571429</v>
      </c>
      <c r="F38" s="2"/>
      <c r="G38" s="2"/>
      <c r="H38" s="2"/>
    </row>
    <row r="39">
      <c r="A39" s="13" t="s">
        <v>26</v>
      </c>
      <c r="B39" s="25">
        <f>COUNTIFS('All Data'!$E$2:$E$101,"&gt;="&amp;$B$18,'All Data'!$E$2:$E$101,"&lt;"&amp;$B$19+1,'All Data'!$F$2:$F$101,"Yes")</f>
        <v>7</v>
      </c>
      <c r="C39" s="25">
        <f>COUNTIFS('All Data'!$E$2:$E$101,"&gt;="&amp;$B$3,'All Data'!$E$2:$E$101,"&lt;"&amp;$B$4+1,'All Data'!$F$2:$F$101,"Yes")</f>
        <v>5</v>
      </c>
      <c r="D39" s="27">
        <f t="shared" si="5"/>
        <v>-2</v>
      </c>
      <c r="E39" s="26">
        <f t="shared" si="6"/>
        <v>-0.2857142857</v>
      </c>
      <c r="F39" s="2"/>
      <c r="G39" s="2"/>
      <c r="H39" s="2"/>
    </row>
    <row r="40">
      <c r="A40" s="11" t="s">
        <v>27</v>
      </c>
      <c r="B40" s="23">
        <f>COUNTIFS('All Data'!$E$2:$E$101,"&gt;="&amp;$B$18,'All Data'!$E$2:$E$101,"&lt;"&amp;$B$19+1,'All Data'!$F$2:$F$101,"No")</f>
        <v>7</v>
      </c>
      <c r="C40" s="23">
        <f>COUNTIFS('All Data'!$E$2:$E$101,"&gt;="&amp;$B$3,'All Data'!$E$2:$E$101,"&lt;"&amp;$B$4+1,'All Data'!$F$2:$F$101,"No")</f>
        <v>11</v>
      </c>
      <c r="D40" s="28">
        <f t="shared" si="5"/>
        <v>4</v>
      </c>
      <c r="E40" s="24">
        <f t="shared" si="6"/>
        <v>0.5714285714</v>
      </c>
      <c r="F40" s="2"/>
      <c r="G40" s="2"/>
      <c r="H40" s="2"/>
    </row>
    <row r="41">
      <c r="A41" s="13" t="s">
        <v>28</v>
      </c>
      <c r="B41" s="26">
        <f t="shared" ref="B41:C41" si="7">IF(B38=0,"",B40/B38)</f>
        <v>0.5</v>
      </c>
      <c r="C41" s="26">
        <f t="shared" si="7"/>
        <v>0.6875</v>
      </c>
      <c r="D41" s="29">
        <f t="shared" si="5"/>
        <v>0.1875</v>
      </c>
      <c r="E41" s="30" t="str">
        <f t="shared" ref="E41:E42" si="9">""</f>
        <v/>
      </c>
      <c r="F41" s="2"/>
      <c r="G41" s="2"/>
      <c r="H41" s="2"/>
    </row>
    <row r="42" ht="15.75" customHeight="1">
      <c r="A42" s="31" t="s">
        <v>29</v>
      </c>
      <c r="B42" s="24">
        <f t="shared" ref="B42:C42" si="8">IF(B34=0,0,B38/B34)</f>
        <v>0.3181818182</v>
      </c>
      <c r="C42" s="24">
        <f t="shared" si="8"/>
        <v>0.2857142857</v>
      </c>
      <c r="D42" s="24">
        <f t="shared" si="5"/>
        <v>-0.03246753247</v>
      </c>
      <c r="E42" s="32" t="str">
        <f t="shared" si="9"/>
        <v/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15.75" customHeight="1">
      <c r="A45" s="6" t="s">
        <v>30</v>
      </c>
      <c r="B45" s="21" t="s">
        <v>31</v>
      </c>
      <c r="C45" s="21" t="s">
        <v>32</v>
      </c>
      <c r="D45" s="21" t="s">
        <v>33</v>
      </c>
      <c r="E45" s="21" t="s">
        <v>34</v>
      </c>
      <c r="F45" s="21" t="s">
        <v>35</v>
      </c>
      <c r="G45" s="21" t="s">
        <v>36</v>
      </c>
      <c r="H45" s="22" t="s">
        <v>37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11" t="s">
        <v>4</v>
      </c>
      <c r="B46" s="23">
        <f>COUNTIFS('All Data'!$A$2:$A$101,$A46,'All Data'!$E$2:$E$101,"&gt;="&amp;$B$18,'All Data'!$E$2:$E$101,"&lt;"&amp;$B$19+1)</f>
        <v>7</v>
      </c>
      <c r="C46" s="23">
        <f>COUNTIFS('All Data'!$A$2:$A$101,$A46,'All Data'!$E$2:$E$101,"&gt;="&amp;$B$3,'All Data'!$E$2:$E$101,"&lt;"&amp;$B$4+1)</f>
        <v>12</v>
      </c>
      <c r="D46" s="23">
        <f t="shared" ref="D46:D50" si="10">C46-B46</f>
        <v>5</v>
      </c>
      <c r="E46" s="24">
        <f t="shared" ref="E46:E50" si="11">IF(B46=0,IF(C46=0,0,1),(C46-B46)/B46)</f>
        <v>0.7142857143</v>
      </c>
      <c r="F46" s="24">
        <f>IFERROR(COUNTIFS('All Data'!$A$2:$A$101,$A46,'All Data'!$E$2:$E$101,"&gt;="&amp;$B$18,'All Data'!$E$2:$E$101,"&lt;"&amp;$B$19+1,'All Data'!$F$2:$F$101,"No")/COUNTIFS('All Data'!$A$2:$A$101,$A46,'All Data'!$E$2:$E$101,"&gt;="&amp;$B$18,'All Data'!$E$2:$E$101,"&lt;"&amp;$B$19+1,'All Data'!$B$2:$B$101,"Priority Escalation Review"),"")</f>
        <v>0.5</v>
      </c>
      <c r="G46" s="24">
        <f>IFERROR(COUNTIFS('All Data'!$A$2:$A$101,$A46,'All Data'!$E$2:$E$101,"&gt;="&amp;$B$3,'All Data'!$E$2:$E$101,"&lt;"&amp;$B$4+1,'All Data'!$F$2:$F$101,"No")/COUNTIFS('All Data'!$A$2:$A$101,$A46,'All Data'!$E$2:$E$101,"&gt;="&amp;$B$3,'All Data'!$E$2:$E$101,"&lt;"&amp;$B$4+1,'All Data'!$B$2:$B$101,"Priority Escalation Review"),"")</f>
        <v>0.6666666667</v>
      </c>
      <c r="H46" s="24">
        <f t="shared" ref="H46:H50" si="12">IF(OR(F46="",G46=""),"",G46-F46)</f>
        <v>0.1666666667</v>
      </c>
    </row>
    <row r="47" ht="15.75" customHeight="1">
      <c r="A47" s="13" t="s">
        <v>5</v>
      </c>
      <c r="B47" s="25">
        <f>COUNTIFS('All Data'!$A$2:$A$101,$A47,'All Data'!$E$2:$E$101,"&gt;="&amp;$B$18,'All Data'!$E$2:$E$101,"&lt;"&amp;$B$19+1)</f>
        <v>8</v>
      </c>
      <c r="C47" s="25">
        <f>COUNTIFS('All Data'!$A$2:$A$101,$A47,'All Data'!$E$2:$E$101,"&gt;="&amp;$B$3,'All Data'!$E$2:$E$101,"&lt;"&amp;$B$4+1)</f>
        <v>11</v>
      </c>
      <c r="D47" s="25">
        <f t="shared" si="10"/>
        <v>3</v>
      </c>
      <c r="E47" s="26">
        <f t="shared" si="11"/>
        <v>0.375</v>
      </c>
      <c r="F47" s="26">
        <f>IFERROR(COUNTIFS('All Data'!$A$2:$A$101,$A47,'All Data'!$E$2:$E$101,"&gt;="&amp;$B$18,'All Data'!$E$2:$E$101,"&lt;"&amp;$B$19+1,'All Data'!$F$2:$F$101,"No")/COUNTIFS('All Data'!$A$2:$A$101,$A47,'All Data'!$E$2:$E$101,"&gt;="&amp;$B$18,'All Data'!$E$2:$E$101,"&lt;"&amp;$B$19+1,'All Data'!$B$2:$B$101,"Priority Escalation Review"),"")</f>
        <v>0.6666666667</v>
      </c>
      <c r="G47" s="26">
        <f>IFERROR(COUNTIFS('All Data'!$A$2:$A$101,$A47,'All Data'!$E$2:$E$101,"&gt;="&amp;$B$3,'All Data'!$E$2:$E$101,"&lt;"&amp;$B$4+1,'All Data'!$F$2:$F$101,"No")/COUNTIFS('All Data'!$A$2:$A$101,$A47,'All Data'!$E$2:$E$101,"&gt;="&amp;$B$3,'All Data'!$E$2:$E$101,"&lt;"&amp;$B$4+1,'All Data'!$B$2:$B$101,"Priority Escalation Review"),"")</f>
        <v>0.75</v>
      </c>
      <c r="H47" s="29">
        <f t="shared" si="12"/>
        <v>0.08333333333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15.75" customHeight="1">
      <c r="A48" s="11" t="s">
        <v>6</v>
      </c>
      <c r="B48" s="23">
        <f>COUNTIFS('All Data'!$A$2:$A$101,$A48,'All Data'!$E$2:$E$101,"&gt;="&amp;$B$18,'All Data'!$E$2:$E$101,"&lt;"&amp;$B$19+1)</f>
        <v>9</v>
      </c>
      <c r="C48" s="23">
        <f>COUNTIFS('All Data'!$A$2:$A$101,$A48,'All Data'!$E$2:$E$101,"&gt;="&amp;$B$3,'All Data'!$E$2:$E$101,"&lt;"&amp;$B$4+1)</f>
        <v>10</v>
      </c>
      <c r="D48" s="23">
        <f t="shared" si="10"/>
        <v>1</v>
      </c>
      <c r="E48" s="24">
        <f t="shared" si="11"/>
        <v>0.1111111111</v>
      </c>
      <c r="F48" s="24">
        <f>IFERROR(COUNTIFS('All Data'!$A$2:$A$101,$A48,'All Data'!$E$2:$E$101,"&gt;="&amp;$B$18,'All Data'!$E$2:$E$101,"&lt;"&amp;$B$19+1,'All Data'!$F$2:$F$101,"No")/COUNTIFS('All Data'!$A$2:$A$101,$A48,'All Data'!$E$2:$E$101,"&gt;="&amp;$B$18,'All Data'!$E$2:$E$101,"&lt;"&amp;$B$19+1,'All Data'!$B$2:$B$101,"Priority Escalation Review"),"")</f>
        <v>0.3333333333</v>
      </c>
      <c r="G48" s="24">
        <f>IFERROR(COUNTIFS('All Data'!$A$2:$A$101,$A48,'All Data'!$E$2:$E$101,"&gt;="&amp;$B$3,'All Data'!$E$2:$E$101,"&lt;"&amp;$B$4+1,'All Data'!$F$2:$F$101,"No")/COUNTIFS('All Data'!$A$2:$A$101,$A48,'All Data'!$E$2:$E$101,"&gt;="&amp;$B$3,'All Data'!$E$2:$E$101,"&lt;"&amp;$B$4+1,'All Data'!$B$2:$B$101,"Priority Escalation Review"),"")</f>
        <v>0.6666666667</v>
      </c>
      <c r="H48" s="24">
        <f t="shared" si="12"/>
        <v>0.3333333333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15.75" customHeight="1">
      <c r="A49" s="13" t="s">
        <v>7</v>
      </c>
      <c r="B49" s="25">
        <f>COUNTIFS('All Data'!$A$2:$A$101,$A49,'All Data'!$E$2:$E$101,"&gt;="&amp;$B$18,'All Data'!$E$2:$E$101,"&lt;"&amp;$B$19+1)</f>
        <v>10</v>
      </c>
      <c r="C49" s="25">
        <f>COUNTIFS('All Data'!$A$2:$A$101,$A49,'All Data'!$E$2:$E$101,"&gt;="&amp;$B$3,'All Data'!$E$2:$E$101,"&lt;"&amp;$B$4+1)</f>
        <v>11</v>
      </c>
      <c r="D49" s="25">
        <f t="shared" si="10"/>
        <v>1</v>
      </c>
      <c r="E49" s="26">
        <f t="shared" si="11"/>
        <v>0.1</v>
      </c>
      <c r="F49" s="26">
        <f>IFERROR(COUNTIFS('All Data'!$A$2:$A$101,$A49,'All Data'!$E$2:$E$101,"&gt;="&amp;$B$18,'All Data'!$E$2:$E$101,"&lt;"&amp;$B$19+1,'All Data'!$F$2:$F$101,"No")/COUNTIFS('All Data'!$A$2:$A$101,$A49,'All Data'!$E$2:$E$101,"&gt;="&amp;$B$18,'All Data'!$E$2:$E$101,"&lt;"&amp;$B$19+1,'All Data'!$B$2:$B$101,"Priority Escalation Review"),"")</f>
        <v>0.6666666667</v>
      </c>
      <c r="G49" s="26">
        <f>IFERROR(COUNTIFS('All Data'!$A$2:$A$101,$A49,'All Data'!$E$2:$E$101,"&gt;="&amp;$B$3,'All Data'!$E$2:$E$101,"&lt;"&amp;$B$4+1,'All Data'!$F$2:$F$101,"No")/COUNTIFS('All Data'!$A$2:$A$101,$A49,'All Data'!$E$2:$E$101,"&gt;="&amp;$B$3,'All Data'!$E$2:$E$101,"&lt;"&amp;$B$4+1,'All Data'!$B$2:$B$101,"Priority Escalation Review"),"")</f>
        <v>0.5</v>
      </c>
      <c r="H49" s="26">
        <f t="shared" si="12"/>
        <v>-0.1666666667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15.75" customHeight="1">
      <c r="A50" s="31" t="s">
        <v>8</v>
      </c>
      <c r="B50" s="23">
        <f>COUNTIFS('All Data'!$A$2:$A$101,$A50,'All Data'!$E$2:$E$101,"&gt;="&amp;$B$18,'All Data'!$E$2:$E$101,"&lt;"&amp;$B$19+1)</f>
        <v>10</v>
      </c>
      <c r="C50" s="23">
        <f>COUNTIFS('All Data'!$A$2:$A$101,$A50,'All Data'!$E$2:$E$101,"&gt;="&amp;$B$3,'All Data'!$E$2:$E$101,"&lt;"&amp;$B$4+1)</f>
        <v>12</v>
      </c>
      <c r="D50" s="23">
        <f t="shared" si="10"/>
        <v>2</v>
      </c>
      <c r="E50" s="24">
        <f t="shared" si="11"/>
        <v>0.2</v>
      </c>
      <c r="F50" s="24">
        <f>IFERROR(COUNTIFS('All Data'!$A$2:$A$101,$A50,'All Data'!$E$2:$E$101,"&gt;="&amp;$B$18,'All Data'!$E$2:$E$101,"&lt;"&amp;$B$19+1,'All Data'!$F$2:$F$101,"No")/COUNTIFS('All Data'!$A$2:$A$101,$A50,'All Data'!$E$2:$E$101,"&gt;="&amp;$B$18,'All Data'!$E$2:$E$101,"&lt;"&amp;$B$19+1,'All Data'!$B$2:$B$101,"Priority Escalation Review"),"")</f>
        <v>0.3333333333</v>
      </c>
      <c r="G50" s="24">
        <f>IFERROR(COUNTIFS('All Data'!$A$2:$A$101,$A50,'All Data'!$E$2:$E$101,"&gt;="&amp;$B$3,'All Data'!$E$2:$E$101,"&lt;"&amp;$B$4+1,'All Data'!$F$2:$F$101,"No")/COUNTIFS('All Data'!$A$2:$A$101,$A50,'All Data'!$E$2:$E$101,"&gt;="&amp;$B$3,'All Data'!$E$2:$E$101,"&lt;"&amp;$B$4+1,'All Data'!$B$2:$B$101,"Priority Escalation Review"),"")</f>
        <v>0.75</v>
      </c>
      <c r="H50" s="24">
        <f t="shared" si="12"/>
        <v>0.4166666667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15.75" customHeight="1">
      <c r="A53" s="6" t="s">
        <v>3</v>
      </c>
      <c r="B53" s="21" t="s">
        <v>31</v>
      </c>
      <c r="C53" s="21" t="s">
        <v>32</v>
      </c>
      <c r="D53" s="21" t="s">
        <v>33</v>
      </c>
      <c r="E53" s="21" t="s">
        <v>34</v>
      </c>
      <c r="F53" s="22" t="s">
        <v>38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15.75" customHeight="1">
      <c r="A54" s="11" t="s">
        <v>10</v>
      </c>
      <c r="B54" s="23">
        <f>COUNTIFS('All Data'!$B$2:$B$101,$A54,'All Data'!$E$2:$E$101,"&gt;="&amp;$B$18,'All Data'!$E$2:$E$101,"&lt;"&amp;$B$19+1)</f>
        <v>11</v>
      </c>
      <c r="C54" s="23">
        <f>COUNTIFS('All Data'!$B$2:$B$101,$A54,'All Data'!$E$2:$E$101,"&gt;="&amp;$B$3,'All Data'!$E$2:$E$101,"&lt;"&amp;$B$4+1)</f>
        <v>15</v>
      </c>
      <c r="D54" s="23">
        <f t="shared" ref="D54:D57" si="13">C54-B54</f>
        <v>4</v>
      </c>
      <c r="E54" s="24">
        <f t="shared" ref="E54:E57" si="14">IF(B54=0,IF(C54=0,0,1),(C54-B54)/B54)</f>
        <v>0.3636363636</v>
      </c>
      <c r="F54" s="24">
        <f t="shared" ref="F54:F57" si="15">IF($C$34=0,0,C54/$C$34)</f>
        <v>0.2678571429</v>
      </c>
      <c r="G54" s="2"/>
      <c r="H54" s="2"/>
    </row>
    <row r="55" ht="15.75" customHeight="1">
      <c r="A55" s="13" t="s">
        <v>11</v>
      </c>
      <c r="B55" s="25">
        <f>COUNTIFS('All Data'!$B$2:$B$101,$A55,'All Data'!$E$2:$E$101,"&gt;="&amp;$B$18,'All Data'!$E$2:$E$101,"&lt;"&amp;$B$19+1)</f>
        <v>10</v>
      </c>
      <c r="C55" s="25">
        <f>COUNTIFS('All Data'!$B$2:$B$101,$A55,'All Data'!$E$2:$E$101,"&gt;="&amp;$B$3,'All Data'!$E$2:$E$101,"&lt;"&amp;$B$4+1)</f>
        <v>13</v>
      </c>
      <c r="D55" s="25">
        <f t="shared" si="13"/>
        <v>3</v>
      </c>
      <c r="E55" s="26">
        <f t="shared" si="14"/>
        <v>0.3</v>
      </c>
      <c r="F55" s="26">
        <f t="shared" si="15"/>
        <v>0.2321428571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15.75" customHeight="1">
      <c r="A56" s="11" t="s">
        <v>12</v>
      </c>
      <c r="B56" s="23">
        <f>COUNTIFS('All Data'!$B$2:$B$101,$A56,'All Data'!$E$2:$E$101,"&gt;="&amp;$B$18,'All Data'!$E$2:$E$101,"&lt;"&amp;$B$19+1)</f>
        <v>9</v>
      </c>
      <c r="C56" s="23">
        <f>COUNTIFS('All Data'!$B$2:$B$101,$A56,'All Data'!$E$2:$E$101,"&gt;="&amp;$B$3,'All Data'!$E$2:$E$101,"&lt;"&amp;$B$4+1)</f>
        <v>12</v>
      </c>
      <c r="D56" s="23">
        <f t="shared" si="13"/>
        <v>3</v>
      </c>
      <c r="E56" s="24">
        <f t="shared" si="14"/>
        <v>0.3333333333</v>
      </c>
      <c r="F56" s="24">
        <f t="shared" si="15"/>
        <v>0.2142857143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15.75" customHeight="1">
      <c r="A57" s="33" t="s">
        <v>13</v>
      </c>
      <c r="B57" s="25">
        <f>COUNTIFS('All Data'!$B$2:$B$101,$A57,'All Data'!$E$2:$E$101,"&gt;="&amp;$B$18,'All Data'!$E$2:$E$101,"&lt;"&amp;$B$19+1)</f>
        <v>14</v>
      </c>
      <c r="C57" s="25">
        <f>COUNTIFS('All Data'!$B$2:$B$101,$A57,'All Data'!$E$2:$E$101,"&gt;="&amp;$B$3,'All Data'!$E$2:$E$101,"&lt;"&amp;$B$4+1)</f>
        <v>16</v>
      </c>
      <c r="D57" s="25">
        <f t="shared" si="13"/>
        <v>2</v>
      </c>
      <c r="E57" s="26">
        <f t="shared" si="14"/>
        <v>0.1428571429</v>
      </c>
      <c r="F57" s="26">
        <f t="shared" si="15"/>
        <v>0.2857142857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</sheetData>
  <mergeCells count="3">
    <mergeCell ref="A1:H1"/>
    <mergeCell ref="A16:H16"/>
    <mergeCell ref="A31:H31"/>
  </mergeCells>
  <conditionalFormatting sqref="A11:G11 A26:H26 I54:AJ54">
    <cfRule type="notContainsBlanks" dxfId="4" priority="1">
      <formula>LEN(TRIM(A11))&gt;0</formula>
    </cfRule>
  </conditionalFormatting>
  <printOptions/>
  <pageMargins bottom="1.0" footer="0.0" header="0.0" left="0.75" right="0.75" top="1.0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43"/>
    <col customWidth="1" min="3" max="3" width="24.0"/>
    <col customWidth="1" min="4" max="4" width="21.14"/>
    <col customWidth="1" min="5" max="5" width="29.0"/>
    <col customWidth="1" min="6" max="6" width="27.43"/>
  </cols>
  <sheetData>
    <row r="1">
      <c r="A1" s="6" t="str">
        <f>IFERROR(__xludf.DUMMYFUNCTION("VSTACK(
'Team Alpha'!A1:F1,
FILTER('Team Alpha'!A2:F1000,'Team Alpha'!C2:C1000&lt;&gt;""""),
FILTER('Team Beta'!A2:F1000,'Team Beta'!C2:C1000&lt;&gt;""""),
FILTER('Team Gamma'!A2:F1000,'Team Gamma'!C2:C1000&lt;&gt;""""),
FILTER('Team Delta'!A2:F1000,'Team Delta'!C2:C1000&lt;&gt;"&amp;"""""),
FILTER('Team Epsilon'!A2:F1000,'Team Epsilon'!C2:C1000&lt;&gt;"""")
)"),"Team")</f>
        <v>Team</v>
      </c>
      <c r="B1" s="21" t="str">
        <f>IFERROR(__xludf.DUMMYFUNCTION("""COMPUTED_VALUE"""),"Task Type")</f>
        <v>Task Type</v>
      </c>
      <c r="C1" s="21" t="str">
        <f>IFERROR(__xludf.DUMMYFUNCTION("""COMPUTED_VALUE"""),"Task ID")</f>
        <v>Task ID</v>
      </c>
      <c r="D1" s="21" t="str">
        <f>IFERROR(__xludf.DUMMYFUNCTION("""COMPUTED_VALUE"""),"Created Date")</f>
        <v>Created Date</v>
      </c>
      <c r="E1" s="21" t="str">
        <f>IFERROR(__xludf.DUMMYFUNCTION("""COMPUTED_VALUE"""),"Completed Date")</f>
        <v>Completed Date</v>
      </c>
      <c r="F1" s="22" t="str">
        <f>IFERROR(__xludf.DUMMYFUNCTION("""COMPUTED_VALUE"""),"SLA Breached")</f>
        <v>SLA Breached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4" t="str">
        <f>IFERROR(__xludf.DUMMYFUNCTION("""COMPUTED_VALUE"""),"Team Alpha")</f>
        <v>Team Alpha</v>
      </c>
      <c r="B2" s="34" t="str">
        <f>IFERROR(__xludf.DUMMYFUNCTION("""COMPUTED_VALUE"""),"Quality Review")</f>
        <v>Quality Review</v>
      </c>
      <c r="C2" s="34" t="str">
        <f>IFERROR(__xludf.DUMMYFUNCTION("""COMPUTED_VALUE"""),"TASK-2001")</f>
        <v>TASK-2001</v>
      </c>
      <c r="D2" s="35">
        <f>IFERROR(__xludf.DUMMYFUNCTION("""COMPUTED_VALUE"""),46200.90347222222)</f>
        <v>46200.90347</v>
      </c>
      <c r="E2" s="35">
        <f>IFERROR(__xludf.DUMMYFUNCTION("""COMPUTED_VALUE"""),46202.57013888889)</f>
        <v>46202.57014</v>
      </c>
      <c r="F2" s="36" t="str">
        <f>IFERROR(__xludf.DUMMYFUNCTION("""COMPUTED_VALUE"""),"N/A")</f>
        <v>N/A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0" t="str">
        <f>IFERROR(__xludf.DUMMYFUNCTION("""COMPUTED_VALUE"""),"Team Alpha")</f>
        <v>Team Alpha</v>
      </c>
      <c r="B3" s="30" t="str">
        <f>IFERROR(__xludf.DUMMYFUNCTION("""COMPUTED_VALUE"""),"Complex Case Review")</f>
        <v>Complex Case Review</v>
      </c>
      <c r="C3" s="30" t="str">
        <f>IFERROR(__xludf.DUMMYFUNCTION("""COMPUTED_VALUE"""),"TASK-2003")</f>
        <v>TASK-2003</v>
      </c>
      <c r="D3" s="37">
        <f>IFERROR(__xludf.DUMMYFUNCTION("""COMPUTED_VALUE"""),46201.61944444444)</f>
        <v>46201.61944</v>
      </c>
      <c r="E3" s="37">
        <f>IFERROR(__xludf.DUMMYFUNCTION("""COMPUTED_VALUE"""),46203.66111111111)</f>
        <v>46203.66111</v>
      </c>
      <c r="F3" s="38" t="str">
        <f>IFERROR(__xludf.DUMMYFUNCTION("""COMPUTED_VALUE"""),"N/A")</f>
        <v>N/A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4" t="str">
        <f>IFERROR(__xludf.DUMMYFUNCTION("""COMPUTED_VALUE"""),"Team Alpha")</f>
        <v>Team Alpha</v>
      </c>
      <c r="B4" s="34" t="str">
        <f>IFERROR(__xludf.DUMMYFUNCTION("""COMPUTED_VALUE"""),"Process Exception Investigation")</f>
        <v>Process Exception Investigation</v>
      </c>
      <c r="C4" s="34" t="str">
        <f>IFERROR(__xludf.DUMMYFUNCTION("""COMPUTED_VALUE"""),"TASK-2005")</f>
        <v>TASK-2005</v>
      </c>
      <c r="D4" s="35">
        <f>IFERROR(__xludf.DUMMYFUNCTION("""COMPUTED_VALUE"""),46201.96041666667)</f>
        <v>46201.96042</v>
      </c>
      <c r="E4" s="35">
        <f>IFERROR(__xludf.DUMMYFUNCTION("""COMPUTED_VALUE"""),46204.37708333333)</f>
        <v>46204.37708</v>
      </c>
      <c r="F4" s="36" t="str">
        <f>IFERROR(__xludf.DUMMYFUNCTION("""COMPUTED_VALUE"""),"N/A")</f>
        <v>N/A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0" t="str">
        <f>IFERROR(__xludf.DUMMYFUNCTION("""COMPUTED_VALUE"""),"Team Alpha")</f>
        <v>Team Alpha</v>
      </c>
      <c r="B5" s="30" t="str">
        <f>IFERROR(__xludf.DUMMYFUNCTION("""COMPUTED_VALUE"""),"Priority Escalation Review")</f>
        <v>Priority Escalation Review</v>
      </c>
      <c r="C5" s="30" t="str">
        <f>IFERROR(__xludf.DUMMYFUNCTION("""COMPUTED_VALUE"""),"TASK-2006")</f>
        <v>TASK-2006</v>
      </c>
      <c r="D5" s="37">
        <f>IFERROR(__xludf.DUMMYFUNCTION("""COMPUTED_VALUE"""),46202.67638888889)</f>
        <v>46202.67639</v>
      </c>
      <c r="E5" s="37">
        <f>IFERROR(__xludf.DUMMYFUNCTION("""COMPUTED_VALUE"""),46205.46805555555)</f>
        <v>46205.46806</v>
      </c>
      <c r="F5" s="36" t="str">
        <f>IFERROR(__xludf.DUMMYFUNCTION("""COMPUTED_VALUE"""),"Yes")</f>
        <v>Yes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4" t="str">
        <f>IFERROR(__xludf.DUMMYFUNCTION("""COMPUTED_VALUE"""),"Team Alpha")</f>
        <v>Team Alpha</v>
      </c>
      <c r="B6" s="34" t="str">
        <f>IFERROR(__xludf.DUMMYFUNCTION("""COMPUTED_VALUE"""),"Quality Review")</f>
        <v>Quality Review</v>
      </c>
      <c r="C6" s="34" t="str">
        <f>IFERROR(__xludf.DUMMYFUNCTION("""COMPUTED_VALUE"""),"TASK-2002")</f>
        <v>TASK-2002</v>
      </c>
      <c r="D6" s="35">
        <f>IFERROR(__xludf.DUMMYFUNCTION("""COMPUTED_VALUE"""),46203.6625)</f>
        <v>46203.6625</v>
      </c>
      <c r="E6" s="35">
        <f>IFERROR(__xludf.DUMMYFUNCTION("""COMPUTED_VALUE"""),46205.62083333333)</f>
        <v>46205.62083</v>
      </c>
      <c r="F6" s="36" t="str">
        <f>IFERROR(__xludf.DUMMYFUNCTION("""COMPUTED_VALUE"""),"N/A")</f>
        <v>N/A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0" t="str">
        <f>IFERROR(__xludf.DUMMYFUNCTION("""COMPUTED_VALUE"""),"Team Alpha")</f>
        <v>Team Alpha</v>
      </c>
      <c r="B7" s="30" t="str">
        <f>IFERROR(__xludf.DUMMYFUNCTION("""COMPUTED_VALUE"""),"Complex Case Review")</f>
        <v>Complex Case Review</v>
      </c>
      <c r="C7" s="30" t="str">
        <f>IFERROR(__xludf.DUMMYFUNCTION("""COMPUTED_VALUE"""),"TASK-2004")</f>
        <v>TASK-2004</v>
      </c>
      <c r="D7" s="37">
        <f>IFERROR(__xludf.DUMMYFUNCTION("""COMPUTED_VALUE"""),46204.33680555555)</f>
        <v>46204.33681</v>
      </c>
      <c r="E7" s="37">
        <f>IFERROR(__xludf.DUMMYFUNCTION("""COMPUTED_VALUE"""),46206.67013888889)</f>
        <v>46206.67014</v>
      </c>
      <c r="F7" s="36" t="str">
        <f>IFERROR(__xludf.DUMMYFUNCTION("""COMPUTED_VALUE"""),"N/A")</f>
        <v>N/A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4" t="str">
        <f>IFERROR(__xludf.DUMMYFUNCTION("""COMPUTED_VALUE"""),"Team Alpha")</f>
        <v>Team Alpha</v>
      </c>
      <c r="B8" s="34" t="str">
        <f>IFERROR(__xludf.DUMMYFUNCTION("""COMPUTED_VALUE"""),"Priority Escalation Review")</f>
        <v>Priority Escalation Review</v>
      </c>
      <c r="C8" s="34" t="str">
        <f>IFERROR(__xludf.DUMMYFUNCTION("""COMPUTED_VALUE"""),"TASK-2007")</f>
        <v>TASK-2007</v>
      </c>
      <c r="D8" s="35">
        <f>IFERROR(__xludf.DUMMYFUNCTION("""COMPUTED_VALUE"""),46207.68541666667)</f>
        <v>46207.68542</v>
      </c>
      <c r="E8" s="35">
        <f>IFERROR(__xludf.DUMMYFUNCTION("""COMPUTED_VALUE"""),46208.51875)</f>
        <v>46208.51875</v>
      </c>
      <c r="F8" s="38" t="str">
        <f>IFERROR(__xludf.DUMMYFUNCTION("""COMPUTED_VALUE"""),"No")</f>
        <v>No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0" t="str">
        <f>IFERROR(__xludf.DUMMYFUNCTION("""COMPUTED_VALUE"""),"Team Alpha")</f>
        <v>Team Alpha</v>
      </c>
      <c r="B9" s="30" t="str">
        <f>IFERROR(__xludf.DUMMYFUNCTION("""COMPUTED_VALUE"""),"Priority Escalation Review")</f>
        <v>Priority Escalation Review</v>
      </c>
      <c r="C9" s="30" t="str">
        <f>IFERROR(__xludf.DUMMYFUNCTION("""COMPUTED_VALUE"""),"TASK-2055")</f>
        <v>TASK-2055</v>
      </c>
      <c r="D9" s="37">
        <f>IFERROR(__xludf.DUMMYFUNCTION("""COMPUTED_VALUE"""),46208.64444444444)</f>
        <v>46208.64444</v>
      </c>
      <c r="E9" s="37">
        <f>IFERROR(__xludf.DUMMYFUNCTION("""COMPUTED_VALUE"""),46209.51944444444)</f>
        <v>46209.51944</v>
      </c>
      <c r="F9" s="36" t="str">
        <f>IFERROR(__xludf.DUMMYFUNCTION("""COMPUTED_VALUE"""),"No")</f>
        <v>No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4" t="str">
        <f>IFERROR(__xludf.DUMMYFUNCTION("""COMPUTED_VALUE"""),"Team Alpha")</f>
        <v>Team Alpha</v>
      </c>
      <c r="B10" s="34" t="str">
        <f>IFERROR(__xludf.DUMMYFUNCTION("""COMPUTED_VALUE"""),"Quality Review")</f>
        <v>Quality Review</v>
      </c>
      <c r="C10" s="34" t="str">
        <f>IFERROR(__xludf.DUMMYFUNCTION("""COMPUTED_VALUE"""),"TASK-2047")</f>
        <v>TASK-2047</v>
      </c>
      <c r="D10" s="35">
        <f>IFERROR(__xludf.DUMMYFUNCTION("""COMPUTED_VALUE"""),46207.33888888889)</f>
        <v>46207.33889</v>
      </c>
      <c r="E10" s="35">
        <f>IFERROR(__xludf.DUMMYFUNCTION("""COMPUTED_VALUE"""),46209.63055555556)</f>
        <v>46209.63056</v>
      </c>
      <c r="F10" s="36" t="str">
        <f>IFERROR(__xludf.DUMMYFUNCTION("""COMPUTED_VALUE"""),"N/A")</f>
        <v>N/A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0" t="str">
        <f>IFERROR(__xludf.DUMMYFUNCTION("""COMPUTED_VALUE"""),"Team Alpha")</f>
        <v>Team Alpha</v>
      </c>
      <c r="B11" s="30" t="str">
        <f>IFERROR(__xludf.DUMMYFUNCTION("""COMPUTED_VALUE"""),"Complex Case Review")</f>
        <v>Complex Case Review</v>
      </c>
      <c r="C11" s="30" t="str">
        <f>IFERROR(__xludf.DUMMYFUNCTION("""COMPUTED_VALUE"""),"TASK-2050")</f>
        <v>TASK-2050</v>
      </c>
      <c r="D11" s="37">
        <f>IFERROR(__xludf.DUMMYFUNCTION("""COMPUTED_VALUE"""),46207.72152777778)</f>
        <v>46207.72153</v>
      </c>
      <c r="E11" s="37">
        <f>IFERROR(__xludf.DUMMYFUNCTION("""COMPUTED_VALUE"""),46210.38819444444)</f>
        <v>46210.38819</v>
      </c>
      <c r="F11" s="38" t="str">
        <f>IFERROR(__xludf.DUMMYFUNCTION("""COMPUTED_VALUE"""),"N/A")</f>
        <v>N/A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4" t="str">
        <f>IFERROR(__xludf.DUMMYFUNCTION("""COMPUTED_VALUE"""),"Team Alpha")</f>
        <v>Team Alpha</v>
      </c>
      <c r="B12" s="34" t="str">
        <f>IFERROR(__xludf.DUMMYFUNCTION("""COMPUTED_VALUE"""),"Quality Review")</f>
        <v>Quality Review</v>
      </c>
      <c r="C12" s="34" t="str">
        <f>IFERROR(__xludf.DUMMYFUNCTION("""COMPUTED_VALUE"""),"TASK-2045")</f>
        <v>TASK-2045</v>
      </c>
      <c r="D12" s="35">
        <f>IFERROR(__xludf.DUMMYFUNCTION("""COMPUTED_VALUE"""),46208.8625)</f>
        <v>46208.8625</v>
      </c>
      <c r="E12" s="35">
        <f>IFERROR(__xludf.DUMMYFUNCTION("""COMPUTED_VALUE"""),46210.57083333333)</f>
        <v>46210.57083</v>
      </c>
      <c r="F12" s="36" t="str">
        <f>IFERROR(__xludf.DUMMYFUNCTION("""COMPUTED_VALUE"""),"N/A")</f>
        <v>N/A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0" t="str">
        <f>IFERROR(__xludf.DUMMYFUNCTION("""COMPUTED_VALUE"""),"Team Alpha")</f>
        <v>Team Alpha</v>
      </c>
      <c r="B13" s="30" t="str">
        <f>IFERROR(__xludf.DUMMYFUNCTION("""COMPUTED_VALUE"""),"Process Exception Investigation")</f>
        <v>Process Exception Investigation</v>
      </c>
      <c r="C13" s="30" t="str">
        <f>IFERROR(__xludf.DUMMYFUNCTION("""COMPUTED_VALUE"""),"TASK-2053")</f>
        <v>TASK-2053</v>
      </c>
      <c r="D13" s="37">
        <f>IFERROR(__xludf.DUMMYFUNCTION("""COMPUTED_VALUE"""),46210.6875)</f>
        <v>46210.6875</v>
      </c>
      <c r="E13" s="37">
        <f>IFERROR(__xludf.DUMMYFUNCTION("""COMPUTED_VALUE"""),46211.47916666666)</f>
        <v>46211.47917</v>
      </c>
      <c r="F13" s="38" t="str">
        <f>IFERROR(__xludf.DUMMYFUNCTION("""COMPUTED_VALUE"""),"N/A")</f>
        <v>N/A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4" t="str">
        <f>IFERROR(__xludf.DUMMYFUNCTION("""COMPUTED_VALUE"""),"Team Alpha")</f>
        <v>Team Alpha</v>
      </c>
      <c r="B14" s="34" t="str">
        <f>IFERROR(__xludf.DUMMYFUNCTION("""COMPUTED_VALUE"""),"Complex Case Review")</f>
        <v>Complex Case Review</v>
      </c>
      <c r="C14" s="34" t="str">
        <f>IFERROR(__xludf.DUMMYFUNCTION("""COMPUTED_VALUE"""),"TASK-2048")</f>
        <v>TASK-2048</v>
      </c>
      <c r="D14" s="35">
        <f>IFERROR(__xludf.DUMMYFUNCTION("""COMPUTED_VALUE"""),46209.57847222222)</f>
        <v>46209.57847</v>
      </c>
      <c r="E14" s="35">
        <f>IFERROR(__xludf.DUMMYFUNCTION("""COMPUTED_VALUE"""),46211.66180555556)</f>
        <v>46211.66181</v>
      </c>
      <c r="F14" s="36" t="str">
        <f>IFERROR(__xludf.DUMMYFUNCTION("""COMPUTED_VALUE"""),"N/A")</f>
        <v>N/A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0" t="str">
        <f>IFERROR(__xludf.DUMMYFUNCTION("""COMPUTED_VALUE"""),"Team Alpha")</f>
        <v>Team Alpha</v>
      </c>
      <c r="B15" s="30" t="str">
        <f>IFERROR(__xludf.DUMMYFUNCTION("""COMPUTED_VALUE"""),"Process Exception Investigation")</f>
        <v>Process Exception Investigation</v>
      </c>
      <c r="C15" s="30" t="str">
        <f>IFERROR(__xludf.DUMMYFUNCTION("""COMPUTED_VALUE"""),"TASK-2051")</f>
        <v>TASK-2051</v>
      </c>
      <c r="D15" s="37">
        <f>IFERROR(__xludf.DUMMYFUNCTION("""COMPUTED_VALUE"""),46209.91944444444)</f>
        <v>46209.91944</v>
      </c>
      <c r="E15" s="37">
        <f>IFERROR(__xludf.DUMMYFUNCTION("""COMPUTED_VALUE"""),46212.37777777778)</f>
        <v>46212.37778</v>
      </c>
      <c r="F15" s="36" t="str">
        <f>IFERROR(__xludf.DUMMYFUNCTION("""COMPUTED_VALUE"""),"N/A")</f>
        <v>N/A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4" t="str">
        <f>IFERROR(__xludf.DUMMYFUNCTION("""COMPUTED_VALUE"""),"Team Alpha")</f>
        <v>Team Alpha</v>
      </c>
      <c r="B16" s="34" t="str">
        <f>IFERROR(__xludf.DUMMYFUNCTION("""COMPUTED_VALUE"""),"Priority Escalation Review")</f>
        <v>Priority Escalation Review</v>
      </c>
      <c r="C16" s="34" t="str">
        <f>IFERROR(__xludf.DUMMYFUNCTION("""COMPUTED_VALUE"""),"TASK-2056")</f>
        <v>TASK-2056</v>
      </c>
      <c r="D16" s="35">
        <f>IFERROR(__xludf.DUMMYFUNCTION("""COMPUTED_VALUE"""),46211.40347222222)</f>
        <v>46211.40347</v>
      </c>
      <c r="E16" s="35">
        <f>IFERROR(__xludf.DUMMYFUNCTION("""COMPUTED_VALUE"""),46212.57013888889)</f>
        <v>46212.57014</v>
      </c>
      <c r="F16" s="36" t="str">
        <f>IFERROR(__xludf.DUMMYFUNCTION("""COMPUTED_VALUE"""),"No")</f>
        <v>No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0" t="str">
        <f>IFERROR(__xludf.DUMMYFUNCTION("""COMPUTED_VALUE"""),"Team Alpha")</f>
        <v>Team Alpha</v>
      </c>
      <c r="B17" s="30" t="str">
        <f>IFERROR(__xludf.DUMMYFUNCTION("""COMPUTED_VALUE"""),"Priority Escalation Review")</f>
        <v>Priority Escalation Review</v>
      </c>
      <c r="C17" s="30" t="str">
        <f>IFERROR(__xludf.DUMMYFUNCTION("""COMPUTED_VALUE"""),"TASK-2054")</f>
        <v>TASK-2054</v>
      </c>
      <c r="D17" s="37">
        <f>IFERROR(__xludf.DUMMYFUNCTION("""COMPUTED_VALUE"""),46210.63541666666)</f>
        <v>46210.63542</v>
      </c>
      <c r="E17" s="37">
        <f>IFERROR(__xludf.DUMMYFUNCTION("""COMPUTED_VALUE"""),46213.46875)</f>
        <v>46213.46875</v>
      </c>
      <c r="F17" s="36" t="str">
        <f>IFERROR(__xludf.DUMMYFUNCTION("""COMPUTED_VALUE"""),"Yes")</f>
        <v>Yes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4" t="str">
        <f>IFERROR(__xludf.DUMMYFUNCTION("""COMPUTED_VALUE"""),"Team Alpha")</f>
        <v>Team Alpha</v>
      </c>
      <c r="B18" s="34" t="str">
        <f>IFERROR(__xludf.DUMMYFUNCTION("""COMPUTED_VALUE"""),"Quality Review")</f>
        <v>Quality Review</v>
      </c>
      <c r="C18" s="34" t="str">
        <f>IFERROR(__xludf.DUMMYFUNCTION("""COMPUTED_VALUE"""),"TASK-2046")</f>
        <v>TASK-2046</v>
      </c>
      <c r="D18" s="35">
        <f>IFERROR(__xludf.DUMMYFUNCTION("""COMPUTED_VALUE"""),46211.62152777778)</f>
        <v>46211.62153</v>
      </c>
      <c r="E18" s="35">
        <f>IFERROR(__xludf.DUMMYFUNCTION("""COMPUTED_VALUE"""),46213.62152777778)</f>
        <v>46213.62153</v>
      </c>
      <c r="F18" s="38" t="str">
        <f>IFERROR(__xludf.DUMMYFUNCTION("""COMPUTED_VALUE"""),"N/A")</f>
        <v>N/A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0" t="str">
        <f>IFERROR(__xludf.DUMMYFUNCTION("""COMPUTED_VALUE"""),"Team Alpha")</f>
        <v>Team Alpha</v>
      </c>
      <c r="B19" s="30" t="str">
        <f>IFERROR(__xludf.DUMMYFUNCTION("""COMPUTED_VALUE"""),"Complex Case Review")</f>
        <v>Complex Case Review</v>
      </c>
      <c r="C19" s="30" t="str">
        <f>IFERROR(__xludf.DUMMYFUNCTION("""COMPUTED_VALUE"""),"TASK-2049")</f>
        <v>TASK-2049</v>
      </c>
      <c r="D19" s="37">
        <f>IFERROR(__xludf.DUMMYFUNCTION("""COMPUTED_VALUE"""),46212.29583333333)</f>
        <v>46212.29583</v>
      </c>
      <c r="E19" s="37">
        <f>IFERROR(__xludf.DUMMYFUNCTION("""COMPUTED_VALUE"""),46214.67083333333)</f>
        <v>46214.67083</v>
      </c>
      <c r="F19" s="36" t="str">
        <f>IFERROR(__xludf.DUMMYFUNCTION("""COMPUTED_VALUE"""),"N/A")</f>
        <v>N/A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4" t="str">
        <f>IFERROR(__xludf.DUMMYFUNCTION("""COMPUTED_VALUE"""),"Team Alpha")</f>
        <v>Team Alpha</v>
      </c>
      <c r="B20" s="34" t="str">
        <f>IFERROR(__xludf.DUMMYFUNCTION("""COMPUTED_VALUE"""),"Process Exception Investigation")</f>
        <v>Process Exception Investigation</v>
      </c>
      <c r="C20" s="34" t="str">
        <f>IFERROR(__xludf.DUMMYFUNCTION("""COMPUTED_VALUE"""),"TASK-2052")</f>
        <v>TASK-2052</v>
      </c>
      <c r="D20" s="35">
        <f>IFERROR(__xludf.DUMMYFUNCTION("""COMPUTED_VALUE"""),46212.67847222222)</f>
        <v>46212.67847</v>
      </c>
      <c r="E20" s="35">
        <f>IFERROR(__xludf.DUMMYFUNCTION("""COMPUTED_VALUE"""),46215.42847222222)</f>
        <v>46215.42847</v>
      </c>
      <c r="F20" s="36" t="str">
        <f>IFERROR(__xludf.DUMMYFUNCTION("""COMPUTED_VALUE"""),"N/A")</f>
        <v>N/A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0" t="str">
        <f>IFERROR(__xludf.DUMMYFUNCTION("""COMPUTED_VALUE"""),"Team Beta")</f>
        <v>Team Beta</v>
      </c>
      <c r="B21" s="30" t="str">
        <f>IFERROR(__xludf.DUMMYFUNCTION("""COMPUTED_VALUE"""),"Process Exception Investigation")</f>
        <v>Process Exception Investigation</v>
      </c>
      <c r="C21" s="30" t="str">
        <f>IFERROR(__xludf.DUMMYFUNCTION("""COMPUTED_VALUE"""),"TASK-2012")</f>
        <v>TASK-2012</v>
      </c>
      <c r="D21" s="37">
        <f>IFERROR(__xludf.DUMMYFUNCTION("""COMPUTED_VALUE"""),46199.55902777778)</f>
        <v>46199.55903</v>
      </c>
      <c r="E21" s="37">
        <f>IFERROR(__xludf.DUMMYFUNCTION("""COMPUTED_VALUE"""),46202.47569444445)</f>
        <v>46202.47569</v>
      </c>
      <c r="F21" s="38" t="str">
        <f>IFERROR(__xludf.DUMMYFUNCTION("""COMPUTED_VALUE"""),"N/A")</f>
        <v>N/A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4" t="str">
        <f>IFERROR(__xludf.DUMMYFUNCTION("""COMPUTED_VALUE"""),"Team Beta")</f>
        <v>Team Beta</v>
      </c>
      <c r="B22" s="34" t="str">
        <f>IFERROR(__xludf.DUMMYFUNCTION("""COMPUTED_VALUE"""),"Priority Escalation Review")</f>
        <v>Priority Escalation Review</v>
      </c>
      <c r="C22" s="34" t="str">
        <f>IFERROR(__xludf.DUMMYFUNCTION("""COMPUTED_VALUE"""),"TASK-2014")</f>
        <v>TASK-2014</v>
      </c>
      <c r="D22" s="35">
        <f>IFERROR(__xludf.DUMMYFUNCTION("""COMPUTED_VALUE"""),46202.525)</f>
        <v>46202.525</v>
      </c>
      <c r="E22" s="35">
        <f>IFERROR(__xludf.DUMMYFUNCTION("""COMPUTED_VALUE"""),46203.56666666667)</f>
        <v>46203.56667</v>
      </c>
      <c r="F22" s="38" t="str">
        <f>IFERROR(__xludf.DUMMYFUNCTION("""COMPUTED_VALUE"""),"No")</f>
        <v>No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0" t="str">
        <f>IFERROR(__xludf.DUMMYFUNCTION("""COMPUTED_VALUE"""),"Team Beta")</f>
        <v>Team Beta</v>
      </c>
      <c r="B23" s="30" t="str">
        <f>IFERROR(__xludf.DUMMYFUNCTION("""COMPUTED_VALUE"""),"Quality Review")</f>
        <v>Quality Review</v>
      </c>
      <c r="C23" s="30" t="str">
        <f>IFERROR(__xludf.DUMMYFUNCTION("""COMPUTED_VALUE"""),"TASK-2008")</f>
        <v>TASK-2008</v>
      </c>
      <c r="D23" s="37">
        <f>IFERROR(__xludf.DUMMYFUNCTION("""COMPUTED_VALUE"""),46202.74305555555)</f>
        <v>46202.74306</v>
      </c>
      <c r="E23" s="37">
        <f>IFERROR(__xludf.DUMMYFUNCTION("""COMPUTED_VALUE"""),46204.61805555555)</f>
        <v>46204.61806</v>
      </c>
      <c r="F23" s="38" t="str">
        <f>IFERROR(__xludf.DUMMYFUNCTION("""COMPUTED_VALUE"""),"N/A")</f>
        <v>N/A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4" t="str">
        <f>IFERROR(__xludf.DUMMYFUNCTION("""COMPUTED_VALUE"""),"Team Beta")</f>
        <v>Team Beta</v>
      </c>
      <c r="B24" s="34" t="str">
        <f>IFERROR(__xludf.DUMMYFUNCTION("""COMPUTED_VALUE"""),"Complex Case Review")</f>
        <v>Complex Case Review</v>
      </c>
      <c r="C24" s="34" t="str">
        <f>IFERROR(__xludf.DUMMYFUNCTION("""COMPUTED_VALUE"""),"TASK-2010")</f>
        <v>TASK-2010</v>
      </c>
      <c r="D24" s="35">
        <f>IFERROR(__xludf.DUMMYFUNCTION("""COMPUTED_VALUE"""),46203.41736111111)</f>
        <v>46203.41736</v>
      </c>
      <c r="E24" s="35">
        <f>IFERROR(__xludf.DUMMYFUNCTION("""COMPUTED_VALUE"""),46205.66736111111)</f>
        <v>46205.66736</v>
      </c>
      <c r="F24" s="36" t="str">
        <f>IFERROR(__xludf.DUMMYFUNCTION("""COMPUTED_VALUE"""),"N/A")</f>
        <v>N/A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0" t="str">
        <f>IFERROR(__xludf.DUMMYFUNCTION("""COMPUTED_VALUE"""),"Team Beta")</f>
        <v>Team Beta</v>
      </c>
      <c r="B25" s="30" t="str">
        <f>IFERROR(__xludf.DUMMYFUNCTION("""COMPUTED_VALUE"""),"Process Exception Investigation")</f>
        <v>Process Exception Investigation</v>
      </c>
      <c r="C25" s="30" t="str">
        <f>IFERROR(__xludf.DUMMYFUNCTION("""COMPUTED_VALUE"""),"TASK-2011")</f>
        <v>TASK-2011</v>
      </c>
      <c r="D25" s="37">
        <f>IFERROR(__xludf.DUMMYFUNCTION("""COMPUTED_VALUE"""),46203.8)</f>
        <v>46203.8</v>
      </c>
      <c r="E25" s="37">
        <f>IFERROR(__xludf.DUMMYFUNCTION("""COMPUTED_VALUE"""),46206.425)</f>
        <v>46206.425</v>
      </c>
      <c r="F25" s="36" t="str">
        <f>IFERROR(__xludf.DUMMYFUNCTION("""COMPUTED_VALUE"""),"N/A")</f>
        <v>N/A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4" t="str">
        <f>IFERROR(__xludf.DUMMYFUNCTION("""COMPUTED_VALUE"""),"Team Beta")</f>
        <v>Team Beta</v>
      </c>
      <c r="B26" s="34" t="str">
        <f>IFERROR(__xludf.DUMMYFUNCTION("""COMPUTED_VALUE"""),"Priority Escalation Review")</f>
        <v>Priority Escalation Review</v>
      </c>
      <c r="C26" s="34" t="str">
        <f>IFERROR(__xludf.DUMMYFUNCTION("""COMPUTED_VALUE"""),"TASK-2015")</f>
        <v>TASK-2015</v>
      </c>
      <c r="D26" s="35">
        <f>IFERROR(__xludf.DUMMYFUNCTION("""COMPUTED_VALUE"""),46205.28402777778)</f>
        <v>46205.28403</v>
      </c>
      <c r="E26" s="35">
        <f>IFERROR(__xludf.DUMMYFUNCTION("""COMPUTED_VALUE"""),46206.61736111111)</f>
        <v>46206.61736</v>
      </c>
      <c r="F26" s="36" t="str">
        <f>IFERROR(__xludf.DUMMYFUNCTION("""COMPUTED_VALUE"""),"No")</f>
        <v>No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0" t="str">
        <f>IFERROR(__xludf.DUMMYFUNCTION("""COMPUTED_VALUE"""),"Team Beta")</f>
        <v>Team Beta</v>
      </c>
      <c r="B27" s="30" t="str">
        <f>IFERROR(__xludf.DUMMYFUNCTION("""COMPUTED_VALUE"""),"Priority Escalation Review")</f>
        <v>Priority Escalation Review</v>
      </c>
      <c r="C27" s="30" t="str">
        <f>IFERROR(__xludf.DUMMYFUNCTION("""COMPUTED_VALUE"""),"TASK-2013")</f>
        <v>TASK-2013</v>
      </c>
      <c r="D27" s="37">
        <f>IFERROR(__xludf.DUMMYFUNCTION("""COMPUTED_VALUE"""),46206.76597222222)</f>
        <v>46206.76597</v>
      </c>
      <c r="E27" s="37">
        <f>IFERROR(__xludf.DUMMYFUNCTION("""COMPUTED_VALUE"""),46207.51597222222)</f>
        <v>46207.51597</v>
      </c>
      <c r="F27" s="36" t="str">
        <f>IFERROR(__xludf.DUMMYFUNCTION("""COMPUTED_VALUE"""),"Yes")</f>
        <v>Yes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4" t="str">
        <f>IFERROR(__xludf.DUMMYFUNCTION("""COMPUTED_VALUE"""),"Team Beta")</f>
        <v>Team Beta</v>
      </c>
      <c r="B28" s="34" t="str">
        <f>IFERROR(__xludf.DUMMYFUNCTION("""COMPUTED_VALUE"""),"Quality Review")</f>
        <v>Quality Review</v>
      </c>
      <c r="C28" s="34" t="str">
        <f>IFERROR(__xludf.DUMMYFUNCTION("""COMPUTED_VALUE"""),"TASK-2009")</f>
        <v>TASK-2009</v>
      </c>
      <c r="D28" s="35">
        <f>IFERROR(__xludf.DUMMYFUNCTION("""COMPUTED_VALUE"""),46205.46041666667)</f>
        <v>46205.46042</v>
      </c>
      <c r="E28" s="35">
        <f>IFERROR(__xludf.DUMMYFUNCTION("""COMPUTED_VALUE"""),46207.62708333333)</f>
        <v>46207.62708</v>
      </c>
      <c r="F28" s="36" t="str">
        <f>IFERROR(__xludf.DUMMYFUNCTION("""COMPUTED_VALUE"""),"N/A")</f>
        <v>N/A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0" t="str">
        <f>IFERROR(__xludf.DUMMYFUNCTION("""COMPUTED_VALUE"""),"Team Beta")</f>
        <v>Team Beta</v>
      </c>
      <c r="B29" s="30" t="str">
        <f>IFERROR(__xludf.DUMMYFUNCTION("""COMPUTED_VALUE"""),"Complex Case Review")</f>
        <v>Complex Case Review</v>
      </c>
      <c r="C29" s="30" t="str">
        <f>IFERROR(__xludf.DUMMYFUNCTION("""COMPUTED_VALUE"""),"TASK-2061")</f>
        <v>TASK-2061</v>
      </c>
      <c r="D29" s="37">
        <f>IFERROR(__xludf.DUMMYFUNCTION("""COMPUTED_VALUE"""),46206.80208333334)</f>
        <v>46206.80208</v>
      </c>
      <c r="E29" s="37">
        <f>IFERROR(__xludf.DUMMYFUNCTION("""COMPUTED_VALUE"""),46209.38541666666)</f>
        <v>46209.38542</v>
      </c>
      <c r="F29" s="38" t="str">
        <f>IFERROR(__xludf.DUMMYFUNCTION("""COMPUTED_VALUE"""),"N/A")</f>
        <v>N/A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4" t="str">
        <f>IFERROR(__xludf.DUMMYFUNCTION("""COMPUTED_VALUE"""),"Team Beta")</f>
        <v>Team Beta</v>
      </c>
      <c r="B30" s="34" t="str">
        <f>IFERROR(__xludf.DUMMYFUNCTION("""COMPUTED_VALUE"""),"Process Exception Investigation")</f>
        <v>Process Exception Investigation</v>
      </c>
      <c r="C30" s="34" t="str">
        <f>IFERROR(__xludf.DUMMYFUNCTION("""COMPUTED_VALUE"""),"TASK-2063")</f>
        <v>TASK-2063</v>
      </c>
      <c r="D30" s="35">
        <f>IFERROR(__xludf.DUMMYFUNCTION("""COMPUTED_VALUE"""),46207.51805555556)</f>
        <v>46207.51806</v>
      </c>
      <c r="E30" s="35">
        <f>IFERROR(__xludf.DUMMYFUNCTION("""COMPUTED_VALUE"""),46210.47638888889)</f>
        <v>46210.47639</v>
      </c>
      <c r="F30" s="36" t="str">
        <f>IFERROR(__xludf.DUMMYFUNCTION("""COMPUTED_VALUE"""),"N/A")</f>
        <v>N/A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0" t="str">
        <f>IFERROR(__xludf.DUMMYFUNCTION("""COMPUTED_VALUE"""),"Team Beta")</f>
        <v>Team Beta</v>
      </c>
      <c r="B31" s="30" t="str">
        <f>IFERROR(__xludf.DUMMYFUNCTION("""COMPUTED_VALUE"""),"Priority Escalation Review")</f>
        <v>Priority Escalation Review</v>
      </c>
      <c r="C31" s="30" t="str">
        <f>IFERROR(__xludf.DUMMYFUNCTION("""COMPUTED_VALUE"""),"TASK-2067")</f>
        <v>TASK-2067</v>
      </c>
      <c r="D31" s="37">
        <f>IFERROR(__xludf.DUMMYFUNCTION("""COMPUTED_VALUE"""),46208.96041666667)</f>
        <v>46208.96042</v>
      </c>
      <c r="E31" s="37">
        <f>IFERROR(__xludf.DUMMYFUNCTION("""COMPUTED_VALUE"""),46210.62708333333)</f>
        <v>46210.62708</v>
      </c>
      <c r="F31" s="36" t="str">
        <f>IFERROR(__xludf.DUMMYFUNCTION("""COMPUTED_VALUE"""),"No")</f>
        <v>No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4" t="str">
        <f>IFERROR(__xludf.DUMMYFUNCTION("""COMPUTED_VALUE"""),"Team Beta")</f>
        <v>Team Beta</v>
      </c>
      <c r="B32" s="34" t="str">
        <f>IFERROR(__xludf.DUMMYFUNCTION("""COMPUTED_VALUE"""),"Priority Escalation Review")</f>
        <v>Priority Escalation Review</v>
      </c>
      <c r="C32" s="34" t="str">
        <f>IFERROR(__xludf.DUMMYFUNCTION("""COMPUTED_VALUE"""),"TASK-2065")</f>
        <v>TASK-2065</v>
      </c>
      <c r="D32" s="35">
        <f>IFERROR(__xludf.DUMMYFUNCTION("""COMPUTED_VALUE"""),46210.48402777778)</f>
        <v>46210.48403</v>
      </c>
      <c r="E32" s="35">
        <f>IFERROR(__xludf.DUMMYFUNCTION("""COMPUTED_VALUE"""),46211.56736111111)</f>
        <v>46211.56736</v>
      </c>
      <c r="F32" s="39" t="str">
        <f>IFERROR(__xludf.DUMMYFUNCTION("""COMPUTED_VALUE"""),"No")</f>
        <v>No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0" t="str">
        <f>IFERROR(__xludf.DUMMYFUNCTION("""COMPUTED_VALUE"""),"Team Beta")</f>
        <v>Team Beta</v>
      </c>
      <c r="B33" s="30" t="str">
        <f>IFERROR(__xludf.DUMMYFUNCTION("""COMPUTED_VALUE"""),"Quality Review")</f>
        <v>Quality Review</v>
      </c>
      <c r="C33" s="30" t="str">
        <f>IFERROR(__xludf.DUMMYFUNCTION("""COMPUTED_VALUE"""),"TASK-2059")</f>
        <v>TASK-2059</v>
      </c>
      <c r="D33" s="37">
        <f>IFERROR(__xludf.DUMMYFUNCTION("""COMPUTED_VALUE"""),46209.17847222222)</f>
        <v>46209.17847</v>
      </c>
      <c r="E33" s="37">
        <f>IFERROR(__xludf.DUMMYFUNCTION("""COMPUTED_VALUE"""),46211.67847222222)</f>
        <v>46211.67847</v>
      </c>
      <c r="F33" s="39" t="str">
        <f>IFERROR(__xludf.DUMMYFUNCTION("""COMPUTED_VALUE"""),"N/A")</f>
        <v>N/A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4" t="str">
        <f>IFERROR(__xludf.DUMMYFUNCTION("""COMPUTED_VALUE"""),"Team Beta")</f>
        <v>Team Beta</v>
      </c>
      <c r="B34" s="34" t="str">
        <f>IFERROR(__xludf.DUMMYFUNCTION("""COMPUTED_VALUE"""),"Quality Review")</f>
        <v>Quality Review</v>
      </c>
      <c r="C34" s="34" t="str">
        <f>IFERROR(__xludf.DUMMYFUNCTION("""COMPUTED_VALUE"""),"TASK-2057")</f>
        <v>TASK-2057</v>
      </c>
      <c r="D34" s="35">
        <f>IFERROR(__xludf.DUMMYFUNCTION("""COMPUTED_VALUE"""),46210.70208333333)</f>
        <v>46210.70208</v>
      </c>
      <c r="E34" s="35">
        <f>IFERROR(__xludf.DUMMYFUNCTION("""COMPUTED_VALUE"""),46212.61875)</f>
        <v>46212.61875</v>
      </c>
      <c r="F34" s="36" t="str">
        <f>IFERROR(__xludf.DUMMYFUNCTION("""COMPUTED_VALUE"""),"N/A")</f>
        <v>N/A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0" t="str">
        <f>IFERROR(__xludf.DUMMYFUNCTION("""COMPUTED_VALUE"""),"Team Beta")</f>
        <v>Team Beta</v>
      </c>
      <c r="B35" s="30" t="str">
        <f>IFERROR(__xludf.DUMMYFUNCTION("""COMPUTED_VALUE"""),"Complex Case Review")</f>
        <v>Complex Case Review</v>
      </c>
      <c r="C35" s="30" t="str">
        <f>IFERROR(__xludf.DUMMYFUNCTION("""COMPUTED_VALUE"""),"TASK-2060")</f>
        <v>TASK-2060</v>
      </c>
      <c r="D35" s="37">
        <f>IFERROR(__xludf.DUMMYFUNCTION("""COMPUTED_VALUE"""),46211.37638888889)</f>
        <v>46211.37639</v>
      </c>
      <c r="E35" s="37">
        <f>IFERROR(__xludf.DUMMYFUNCTION("""COMPUTED_VALUE"""),46213.66805555556)</f>
        <v>46213.66806</v>
      </c>
      <c r="F35" s="36" t="str">
        <f>IFERROR(__xludf.DUMMYFUNCTION("""COMPUTED_VALUE"""),"N/A")</f>
        <v>N/A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4" t="str">
        <f>IFERROR(__xludf.DUMMYFUNCTION("""COMPUTED_VALUE"""),"Team Beta")</f>
        <v>Team Beta</v>
      </c>
      <c r="B36" s="34" t="str">
        <f>IFERROR(__xludf.DUMMYFUNCTION("""COMPUTED_VALUE"""),"Process Exception Investigation")</f>
        <v>Process Exception Investigation</v>
      </c>
      <c r="C36" s="34" t="str">
        <f>IFERROR(__xludf.DUMMYFUNCTION("""COMPUTED_VALUE"""),"TASK-2062")</f>
        <v>TASK-2062</v>
      </c>
      <c r="D36" s="35">
        <f>IFERROR(__xludf.DUMMYFUNCTION("""COMPUTED_VALUE"""),46211.75902777778)</f>
        <v>46211.75903</v>
      </c>
      <c r="E36" s="35">
        <f>IFERROR(__xludf.DUMMYFUNCTION("""COMPUTED_VALUE"""),46214.42569444444)</f>
        <v>46214.42569</v>
      </c>
      <c r="F36" s="36" t="str">
        <f>IFERROR(__xludf.DUMMYFUNCTION("""COMPUTED_VALUE"""),"N/A")</f>
        <v>N/A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0" t="str">
        <f>IFERROR(__xludf.DUMMYFUNCTION("""COMPUTED_VALUE"""),"Team Beta")</f>
        <v>Team Beta</v>
      </c>
      <c r="B37" s="30" t="str">
        <f>IFERROR(__xludf.DUMMYFUNCTION("""COMPUTED_VALUE"""),"Priority Escalation Review")</f>
        <v>Priority Escalation Review</v>
      </c>
      <c r="C37" s="30" t="str">
        <f>IFERROR(__xludf.DUMMYFUNCTION("""COMPUTED_VALUE"""),"TASK-2066")</f>
        <v>TASK-2066</v>
      </c>
      <c r="D37" s="37">
        <f>IFERROR(__xludf.DUMMYFUNCTION("""COMPUTED_VALUE"""),46213.24305555555)</f>
        <v>46213.24306</v>
      </c>
      <c r="E37" s="37">
        <f>IFERROR(__xludf.DUMMYFUNCTION("""COMPUTED_VALUE"""),46214.61805555555)</f>
        <v>46214.61806</v>
      </c>
      <c r="F37" s="36" t="str">
        <f>IFERROR(__xludf.DUMMYFUNCTION("""COMPUTED_VALUE"""),"No")</f>
        <v>No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4" t="str">
        <f>IFERROR(__xludf.DUMMYFUNCTION("""COMPUTED_VALUE"""),"Team Beta")</f>
        <v>Team Beta</v>
      </c>
      <c r="B38" s="34" t="str">
        <f>IFERROR(__xludf.DUMMYFUNCTION("""COMPUTED_VALUE"""),"Priority Escalation Review")</f>
        <v>Priority Escalation Review</v>
      </c>
      <c r="C38" s="34" t="str">
        <f>IFERROR(__xludf.DUMMYFUNCTION("""COMPUTED_VALUE"""),"TASK-2064")</f>
        <v>TASK-2064</v>
      </c>
      <c r="D38" s="35">
        <f>IFERROR(__xludf.DUMMYFUNCTION("""COMPUTED_VALUE"""),46214.725)</f>
        <v>46214.725</v>
      </c>
      <c r="E38" s="35">
        <f>IFERROR(__xludf.DUMMYFUNCTION("""COMPUTED_VALUE"""),46215.51666666667)</f>
        <v>46215.51667</v>
      </c>
      <c r="F38" s="36" t="str">
        <f>IFERROR(__xludf.DUMMYFUNCTION("""COMPUTED_VALUE"""),"Yes")</f>
        <v>Yes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0" t="str">
        <f>IFERROR(__xludf.DUMMYFUNCTION("""COMPUTED_VALUE"""),"Team Beta")</f>
        <v>Team Beta</v>
      </c>
      <c r="B39" s="30" t="str">
        <f>IFERROR(__xludf.DUMMYFUNCTION("""COMPUTED_VALUE"""),"Quality Review")</f>
        <v>Quality Review</v>
      </c>
      <c r="C39" s="30" t="str">
        <f>IFERROR(__xludf.DUMMYFUNCTION("""COMPUTED_VALUE"""),"TASK-2058")</f>
        <v>TASK-2058</v>
      </c>
      <c r="D39" s="37">
        <f>IFERROR(__xludf.DUMMYFUNCTION("""COMPUTED_VALUE"""),46213.41944444444)</f>
        <v>46213.41944</v>
      </c>
      <c r="E39" s="37">
        <f>IFERROR(__xludf.DUMMYFUNCTION("""COMPUTED_VALUE"""),46215.62777777778)</f>
        <v>46215.62778</v>
      </c>
      <c r="F39" s="39" t="str">
        <f>IFERROR(__xludf.DUMMYFUNCTION("""COMPUTED_VALUE"""),"N/A")</f>
        <v>N/A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4" t="str">
        <f>IFERROR(__xludf.DUMMYFUNCTION("""COMPUTED_VALUE"""),"Team Gamma")</f>
        <v>Team Gamma</v>
      </c>
      <c r="B40" s="34" t="str">
        <f>IFERROR(__xludf.DUMMYFUNCTION("""COMPUTED_VALUE"""),"Priority Escalation Review")</f>
        <v>Priority Escalation Review</v>
      </c>
      <c r="C40" s="34" t="str">
        <f>IFERROR(__xludf.DUMMYFUNCTION("""COMPUTED_VALUE"""),"TASK-2022")</f>
        <v>TASK-2022</v>
      </c>
      <c r="D40" s="35">
        <f>IFERROR(__xludf.DUMMYFUNCTION("""COMPUTED_VALUE"""),46201.60555555556)</f>
        <v>46201.60556</v>
      </c>
      <c r="E40" s="35">
        <f>IFERROR(__xludf.DUMMYFUNCTION("""COMPUTED_VALUE"""),46202.56388888889)</f>
        <v>46202.56389</v>
      </c>
      <c r="F40" s="36" t="str">
        <f>IFERROR(__xludf.DUMMYFUNCTION("""COMPUTED_VALUE"""),"Yes")</f>
        <v>Yes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0" t="str">
        <f>IFERROR(__xludf.DUMMYFUNCTION("""COMPUTED_VALUE"""),"Team Gamma")</f>
        <v>Team Gamma</v>
      </c>
      <c r="B41" s="30" t="str">
        <f>IFERROR(__xludf.DUMMYFUNCTION("""COMPUTED_VALUE"""),"Quality Review")</f>
        <v>Quality Review</v>
      </c>
      <c r="C41" s="30" t="str">
        <f>IFERROR(__xludf.DUMMYFUNCTION("""COMPUTED_VALUE"""),"TASK-2017")</f>
        <v>TASK-2017</v>
      </c>
      <c r="D41" s="37">
        <f>IFERROR(__xludf.DUMMYFUNCTION("""COMPUTED_VALUE"""),46200.3)</f>
        <v>46200.3</v>
      </c>
      <c r="E41" s="37">
        <f>IFERROR(__xludf.DUMMYFUNCTION("""COMPUTED_VALUE"""),46202.675)</f>
        <v>46202.675</v>
      </c>
      <c r="F41" s="36" t="str">
        <f>IFERROR(__xludf.DUMMYFUNCTION("""COMPUTED_VALUE"""),"N/A")</f>
        <v>N/A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4" t="str">
        <f>IFERROR(__xludf.DUMMYFUNCTION("""COMPUTED_VALUE"""),"Team Gamma")</f>
        <v>Team Gamma</v>
      </c>
      <c r="B42" s="34" t="str">
        <f>IFERROR(__xludf.DUMMYFUNCTION("""COMPUTED_VALUE"""),"Complex Case Review")</f>
        <v>Complex Case Review</v>
      </c>
      <c r="C42" s="34" t="str">
        <f>IFERROR(__xludf.DUMMYFUNCTION("""COMPUTED_VALUE"""),"TASK-2019")</f>
        <v>TASK-2019</v>
      </c>
      <c r="D42" s="35">
        <f>IFERROR(__xludf.DUMMYFUNCTION("""COMPUTED_VALUE"""),46200.68263888889)</f>
        <v>46200.68264</v>
      </c>
      <c r="E42" s="35">
        <f>IFERROR(__xludf.DUMMYFUNCTION("""COMPUTED_VALUE"""),46203.43263888889)</f>
        <v>46203.43264</v>
      </c>
      <c r="F42" s="36" t="str">
        <f>IFERROR(__xludf.DUMMYFUNCTION("""COMPUTED_VALUE"""),"N/A")</f>
        <v>N/A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0" t="str">
        <f>IFERROR(__xludf.DUMMYFUNCTION("""COMPUTED_VALUE"""),"Team Gamma")</f>
        <v>Team Gamma</v>
      </c>
      <c r="B43" s="30" t="str">
        <f>IFERROR(__xludf.DUMMYFUNCTION("""COMPUTED_VALUE"""),"Process Exception Investigation")</f>
        <v>Process Exception Investigation</v>
      </c>
      <c r="C43" s="30" t="str">
        <f>IFERROR(__xludf.DUMMYFUNCTION("""COMPUTED_VALUE"""),"TASK-2021")</f>
        <v>TASK-2021</v>
      </c>
      <c r="D43" s="37">
        <f>IFERROR(__xludf.DUMMYFUNCTION("""COMPUTED_VALUE"""),46203.64861111111)</f>
        <v>46203.64861</v>
      </c>
      <c r="E43" s="37">
        <f>IFERROR(__xludf.DUMMYFUNCTION("""COMPUTED_VALUE"""),46204.52361111111)</f>
        <v>46204.52361</v>
      </c>
      <c r="F43" s="39" t="str">
        <f>IFERROR(__xludf.DUMMYFUNCTION("""COMPUTED_VALUE"""),"N/A")</f>
        <v>N/A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4" t="str">
        <f>IFERROR(__xludf.DUMMYFUNCTION("""COMPUTED_VALUE"""),"Team Gamma")</f>
        <v>Team Gamma</v>
      </c>
      <c r="B44" s="34" t="str">
        <f>IFERROR(__xludf.DUMMYFUNCTION("""COMPUTED_VALUE"""),"Priority Escalation Review")</f>
        <v>Priority Escalation Review</v>
      </c>
      <c r="C44" s="34" t="str">
        <f>IFERROR(__xludf.DUMMYFUNCTION("""COMPUTED_VALUE"""),"TASK-2023")</f>
        <v>TASK-2023</v>
      </c>
      <c r="D44" s="35">
        <f>IFERROR(__xludf.DUMMYFUNCTION("""COMPUTED_VALUE"""),46204.36458333334)</f>
        <v>46204.36458</v>
      </c>
      <c r="E44" s="35">
        <f>IFERROR(__xludf.DUMMYFUNCTION("""COMPUTED_VALUE"""),46205.61458333334)</f>
        <v>46205.61458</v>
      </c>
      <c r="F44" s="39" t="str">
        <f>IFERROR(__xludf.DUMMYFUNCTION("""COMPUTED_VALUE"""),"Yes")</f>
        <v>Yes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0" t="str">
        <f>IFERROR(__xludf.DUMMYFUNCTION("""COMPUTED_VALUE"""),"Team Gamma")</f>
        <v>Team Gamma</v>
      </c>
      <c r="B45" s="30" t="str">
        <f>IFERROR(__xludf.DUMMYFUNCTION("""COMPUTED_VALUE"""),"Quality Review")</f>
        <v>Quality Review</v>
      </c>
      <c r="C45" s="30" t="str">
        <f>IFERROR(__xludf.DUMMYFUNCTION("""COMPUTED_VALUE"""),"TASK-2016")</f>
        <v>TASK-2016</v>
      </c>
      <c r="D45" s="37">
        <f>IFERROR(__xludf.DUMMYFUNCTION("""COMPUTED_VALUE"""),46204.58263888889)</f>
        <v>46204.58264</v>
      </c>
      <c r="E45" s="37">
        <f>IFERROR(__xludf.DUMMYFUNCTION("""COMPUTED_VALUE"""),46206.66597222222)</f>
        <v>46206.66597</v>
      </c>
      <c r="F45" s="36" t="str">
        <f>IFERROR(__xludf.DUMMYFUNCTION("""COMPUTED_VALUE"""),"N/A")</f>
        <v>N/A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4" t="str">
        <f>IFERROR(__xludf.DUMMYFUNCTION("""COMPUTED_VALUE"""),"Team Gamma")</f>
        <v>Team Gamma</v>
      </c>
      <c r="B46" s="34" t="str">
        <f>IFERROR(__xludf.DUMMYFUNCTION("""COMPUTED_VALUE"""),"Complex Case Review")</f>
        <v>Complex Case Review</v>
      </c>
      <c r="C46" s="34" t="str">
        <f>IFERROR(__xludf.DUMMYFUNCTION("""COMPUTED_VALUE"""),"TASK-2018")</f>
        <v>TASK-2018</v>
      </c>
      <c r="D46" s="35">
        <f>IFERROR(__xludf.DUMMYFUNCTION("""COMPUTED_VALUE"""),46204.92361111111)</f>
        <v>46204.92361</v>
      </c>
      <c r="E46" s="35">
        <f>IFERROR(__xludf.DUMMYFUNCTION("""COMPUTED_VALUE"""),46207.38194444445)</f>
        <v>46207.38194</v>
      </c>
      <c r="F46" s="36" t="str">
        <f>IFERROR(__xludf.DUMMYFUNCTION("""COMPUTED_VALUE"""),"N/A")</f>
        <v>N/A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0" t="str">
        <f>IFERROR(__xludf.DUMMYFUNCTION("""COMPUTED_VALUE"""),"Team Gamma")</f>
        <v>Team Gamma</v>
      </c>
      <c r="B47" s="30" t="str">
        <f>IFERROR(__xludf.DUMMYFUNCTION("""COMPUTED_VALUE"""),"Process Exception Investigation")</f>
        <v>Process Exception Investigation</v>
      </c>
      <c r="C47" s="30" t="str">
        <f>IFERROR(__xludf.DUMMYFUNCTION("""COMPUTED_VALUE"""),"TASK-2020")</f>
        <v>TASK-2020</v>
      </c>
      <c r="D47" s="37">
        <f>IFERROR(__xludf.DUMMYFUNCTION("""COMPUTED_VALUE"""),46205.63958333333)</f>
        <v>46205.63958</v>
      </c>
      <c r="E47" s="37">
        <f>IFERROR(__xludf.DUMMYFUNCTION("""COMPUTED_VALUE"""),46208.47291666667)</f>
        <v>46208.47292</v>
      </c>
      <c r="F47" s="36" t="str">
        <f>IFERROR(__xludf.DUMMYFUNCTION("""COMPUTED_VALUE"""),"N/A")</f>
        <v>N/A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4" t="str">
        <f>IFERROR(__xludf.DUMMYFUNCTION("""COMPUTED_VALUE"""),"Team Gamma")</f>
        <v>Team Gamma</v>
      </c>
      <c r="B48" s="34" t="str">
        <f>IFERROR(__xludf.DUMMYFUNCTION("""COMPUTED_VALUE"""),"Priority Escalation Review")</f>
        <v>Priority Escalation Review</v>
      </c>
      <c r="C48" s="34" t="str">
        <f>IFERROR(__xludf.DUMMYFUNCTION("""COMPUTED_VALUE"""),"TASK-2024")</f>
        <v>TASK-2024</v>
      </c>
      <c r="D48" s="35">
        <f>IFERROR(__xludf.DUMMYFUNCTION("""COMPUTED_VALUE"""),46207.12361111111)</f>
        <v>46207.12361</v>
      </c>
      <c r="E48" s="35">
        <f>IFERROR(__xludf.DUMMYFUNCTION("""COMPUTED_VALUE"""),46208.66527777778)</f>
        <v>46208.66528</v>
      </c>
      <c r="F48" s="36" t="str">
        <f>IFERROR(__xludf.DUMMYFUNCTION("""COMPUTED_VALUE"""),"No")</f>
        <v>No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0" t="str">
        <f>IFERROR(__xludf.DUMMYFUNCTION("""COMPUTED_VALUE"""),"Team Gamma")</f>
        <v>Team Gamma</v>
      </c>
      <c r="B49" s="30" t="str">
        <f>IFERROR(__xludf.DUMMYFUNCTION("""COMPUTED_VALUE"""),"Process Exception Investigation")</f>
        <v>Process Exception Investigation</v>
      </c>
      <c r="C49" s="30" t="str">
        <f>IFERROR(__xludf.DUMMYFUNCTION("""COMPUTED_VALUE"""),"TASK-2073")</f>
        <v>TASK-2073</v>
      </c>
      <c r="D49" s="37">
        <f>IFERROR(__xludf.DUMMYFUNCTION("""COMPUTED_VALUE"""),46206.59861111111)</f>
        <v>46206.59861</v>
      </c>
      <c r="E49" s="37">
        <f>IFERROR(__xludf.DUMMYFUNCTION("""COMPUTED_VALUE"""),46209.47361111111)</f>
        <v>46209.47361</v>
      </c>
      <c r="F49" s="36" t="str">
        <f>IFERROR(__xludf.DUMMYFUNCTION("""COMPUTED_VALUE"""),"N/A")</f>
        <v>N/A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4" t="str">
        <f>IFERROR(__xludf.DUMMYFUNCTION("""COMPUTED_VALUE"""),"Team Gamma")</f>
        <v>Team Gamma</v>
      </c>
      <c r="B50" s="34" t="str">
        <f>IFERROR(__xludf.DUMMYFUNCTION("""COMPUTED_VALUE"""),"Priority Escalation Review")</f>
        <v>Priority Escalation Review</v>
      </c>
      <c r="C50" s="34" t="str">
        <f>IFERROR(__xludf.DUMMYFUNCTION("""COMPUTED_VALUE"""),"TASK-2077")</f>
        <v>TASK-2077</v>
      </c>
      <c r="D50" s="35">
        <f>IFERROR(__xludf.DUMMYFUNCTION("""COMPUTED_VALUE"""),46208.08263888889)</f>
        <v>46208.08264</v>
      </c>
      <c r="E50" s="35">
        <f>IFERROR(__xludf.DUMMYFUNCTION("""COMPUTED_VALUE"""),46209.66597222222)</f>
        <v>46209.66597</v>
      </c>
      <c r="F50" s="39" t="str">
        <f>IFERROR(__xludf.DUMMYFUNCTION("""COMPUTED_VALUE"""),"No")</f>
        <v>No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0" t="str">
        <f>IFERROR(__xludf.DUMMYFUNCTION("""COMPUTED_VALUE"""),"Team Gamma")</f>
        <v>Team Gamma</v>
      </c>
      <c r="B51" s="30" t="str">
        <f>IFERROR(__xludf.DUMMYFUNCTION("""COMPUTED_VALUE"""),"Priority Escalation Review")</f>
        <v>Priority Escalation Review</v>
      </c>
      <c r="C51" s="30" t="str">
        <f>IFERROR(__xludf.DUMMYFUNCTION("""COMPUTED_VALUE"""),"TASK-2075")</f>
        <v>TASK-2075</v>
      </c>
      <c r="D51" s="37">
        <f>IFERROR(__xludf.DUMMYFUNCTION("""COMPUTED_VALUE"""),46209.56458333333)</f>
        <v>46209.56458</v>
      </c>
      <c r="E51" s="37">
        <f>IFERROR(__xludf.DUMMYFUNCTION("""COMPUTED_VALUE"""),46210.56458333333)</f>
        <v>46210.56458</v>
      </c>
      <c r="F51" s="36" t="str">
        <f>IFERROR(__xludf.DUMMYFUNCTION("""COMPUTED_VALUE"""),"Yes")</f>
        <v>Yes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4" t="str">
        <f>IFERROR(__xludf.DUMMYFUNCTION("""COMPUTED_VALUE"""),"Team Gamma")</f>
        <v>Team Gamma</v>
      </c>
      <c r="B52" s="34" t="str">
        <f>IFERROR(__xludf.DUMMYFUNCTION("""COMPUTED_VALUE"""),"Quality Review")</f>
        <v>Quality Review</v>
      </c>
      <c r="C52" s="34" t="str">
        <f>IFERROR(__xludf.DUMMYFUNCTION("""COMPUTED_VALUE"""),"TASK-2069")</f>
        <v>TASK-2069</v>
      </c>
      <c r="D52" s="35">
        <f>IFERROR(__xludf.DUMMYFUNCTION("""COMPUTED_VALUE"""),46208.25902777778)</f>
        <v>46208.25903</v>
      </c>
      <c r="E52" s="35">
        <f>IFERROR(__xludf.DUMMYFUNCTION("""COMPUTED_VALUE"""),46210.67569444444)</f>
        <v>46210.67569</v>
      </c>
      <c r="F52" s="36" t="str">
        <f>IFERROR(__xludf.DUMMYFUNCTION("""COMPUTED_VALUE"""),"N/A")</f>
        <v>N/A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0" t="str">
        <f>IFERROR(__xludf.DUMMYFUNCTION("""COMPUTED_VALUE"""),"Team Gamma")</f>
        <v>Team Gamma</v>
      </c>
      <c r="B53" s="30" t="str">
        <f>IFERROR(__xludf.DUMMYFUNCTION("""COMPUTED_VALUE"""),"Complex Case Review")</f>
        <v>Complex Case Review</v>
      </c>
      <c r="C53" s="30" t="str">
        <f>IFERROR(__xludf.DUMMYFUNCTION("""COMPUTED_VALUE"""),"TASK-2071")</f>
        <v>TASK-2071</v>
      </c>
      <c r="D53" s="37">
        <f>IFERROR(__xludf.DUMMYFUNCTION("""COMPUTED_VALUE"""),46208.64166666667)</f>
        <v>46208.64167</v>
      </c>
      <c r="E53" s="37">
        <f>IFERROR(__xludf.DUMMYFUNCTION("""COMPUTED_VALUE"""),46211.43333333333)</f>
        <v>46211.43333</v>
      </c>
      <c r="F53" s="39" t="str">
        <f>IFERROR(__xludf.DUMMYFUNCTION("""COMPUTED_VALUE"""),"N/A")</f>
        <v>N/A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4" t="str">
        <f>IFERROR(__xludf.DUMMYFUNCTION("""COMPUTED_VALUE"""),"Team Gamma")</f>
        <v>Team Gamma</v>
      </c>
      <c r="B54" s="34" t="str">
        <f>IFERROR(__xludf.DUMMYFUNCTION("""COMPUTED_VALUE"""),"Process Exception Investigation")</f>
        <v>Process Exception Investigation</v>
      </c>
      <c r="C54" s="34" t="str">
        <f>IFERROR(__xludf.DUMMYFUNCTION("""COMPUTED_VALUE"""),"TASK-2074")</f>
        <v>TASK-2074</v>
      </c>
      <c r="D54" s="35">
        <f>IFERROR(__xludf.DUMMYFUNCTION("""COMPUTED_VALUE"""),46211.60763888889)</f>
        <v>46211.60764</v>
      </c>
      <c r="E54" s="35">
        <f>IFERROR(__xludf.DUMMYFUNCTION("""COMPUTED_VALUE"""),46212.52430555555)</f>
        <v>46212.52431</v>
      </c>
      <c r="F54" s="39" t="str">
        <f>IFERROR(__xludf.DUMMYFUNCTION("""COMPUTED_VALUE"""),"N/A")</f>
        <v>N/A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0" t="str">
        <f>IFERROR(__xludf.DUMMYFUNCTION("""COMPUTED_VALUE"""),"Team Gamma")</f>
        <v>Team Gamma</v>
      </c>
      <c r="B55" s="30" t="str">
        <f>IFERROR(__xludf.DUMMYFUNCTION("""COMPUTED_VALUE"""),"Priority Escalation Review")</f>
        <v>Priority Escalation Review</v>
      </c>
      <c r="C55" s="30" t="str">
        <f>IFERROR(__xludf.DUMMYFUNCTION("""COMPUTED_VALUE"""),"TASK-2076")</f>
        <v>TASK-2076</v>
      </c>
      <c r="D55" s="37">
        <f>IFERROR(__xludf.DUMMYFUNCTION("""COMPUTED_VALUE"""),46212.32361111111)</f>
        <v>46212.32361</v>
      </c>
      <c r="E55" s="37">
        <f>IFERROR(__xludf.DUMMYFUNCTION("""COMPUTED_VALUE"""),46213.61527777778)</f>
        <v>46213.61528</v>
      </c>
      <c r="F55" s="36" t="str">
        <f>IFERROR(__xludf.DUMMYFUNCTION("""COMPUTED_VALUE"""),"No")</f>
        <v>No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4" t="str">
        <f>IFERROR(__xludf.DUMMYFUNCTION("""COMPUTED_VALUE"""),"Team Gamma")</f>
        <v>Team Gamma</v>
      </c>
      <c r="B56" s="34" t="str">
        <f>IFERROR(__xludf.DUMMYFUNCTION("""COMPUTED_VALUE"""),"Complex Case Review")</f>
        <v>Complex Case Review</v>
      </c>
      <c r="C56" s="34" t="str">
        <f>IFERROR(__xludf.DUMMYFUNCTION("""COMPUTED_VALUE"""),"TASK-2072")</f>
        <v>TASK-2072</v>
      </c>
      <c r="D56" s="35">
        <f>IFERROR(__xludf.DUMMYFUNCTION("""COMPUTED_VALUE"""),46213.65069444444)</f>
        <v>46213.65069</v>
      </c>
      <c r="E56" s="35">
        <f>IFERROR(__xludf.DUMMYFUNCTION("""COMPUTED_VALUE"""),46214.48402777778)</f>
        <v>46214.48403</v>
      </c>
      <c r="F56" s="36" t="str">
        <f>IFERROR(__xludf.DUMMYFUNCTION("""COMPUTED_VALUE"""),"N/A")</f>
        <v>N/A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0" t="str">
        <f>IFERROR(__xludf.DUMMYFUNCTION("""COMPUTED_VALUE"""),"Team Gamma")</f>
        <v>Team Gamma</v>
      </c>
      <c r="B57" s="30" t="str">
        <f>IFERROR(__xludf.DUMMYFUNCTION("""COMPUTED_VALUE"""),"Quality Review")</f>
        <v>Quality Review</v>
      </c>
      <c r="C57" s="30" t="str">
        <f>IFERROR(__xludf.DUMMYFUNCTION("""COMPUTED_VALUE"""),"TASK-2068")</f>
        <v>TASK-2068</v>
      </c>
      <c r="D57" s="37">
        <f>IFERROR(__xludf.DUMMYFUNCTION("""COMPUTED_VALUE"""),46212.5)</f>
        <v>46212.5</v>
      </c>
      <c r="E57" s="37">
        <f>IFERROR(__xludf.DUMMYFUNCTION("""COMPUTED_VALUE"""),46214.625)</f>
        <v>46214.625</v>
      </c>
      <c r="F57" s="36" t="str">
        <f>IFERROR(__xludf.DUMMYFUNCTION("""COMPUTED_VALUE"""),"N/A")</f>
        <v>N/A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4" t="str">
        <f>IFERROR(__xludf.DUMMYFUNCTION("""COMPUTED_VALUE"""),"Team Gamma")</f>
        <v>Team Gamma</v>
      </c>
      <c r="B58" s="34" t="str">
        <f>IFERROR(__xludf.DUMMYFUNCTION("""COMPUTED_VALUE"""),"Complex Case Review")</f>
        <v>Complex Case Review</v>
      </c>
      <c r="C58" s="34" t="str">
        <f>IFERROR(__xludf.DUMMYFUNCTION("""COMPUTED_VALUE"""),"TASK-2070")</f>
        <v>TASK-2070</v>
      </c>
      <c r="D58" s="35">
        <f>IFERROR(__xludf.DUMMYFUNCTION("""COMPUTED_VALUE"""),46212.88263888889)</f>
        <v>46212.88264</v>
      </c>
      <c r="E58" s="35">
        <f>IFERROR(__xludf.DUMMYFUNCTION("""COMPUTED_VALUE"""),46215.38263888889)</f>
        <v>46215.38264</v>
      </c>
      <c r="F58" s="36" t="str">
        <f>IFERROR(__xludf.DUMMYFUNCTION("""COMPUTED_VALUE"""),"N/A")</f>
        <v>N/A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0" t="str">
        <f>IFERROR(__xludf.DUMMYFUNCTION("""COMPUTED_VALUE"""),"Team Delta")</f>
        <v>Team Delta</v>
      </c>
      <c r="B59" s="30" t="str">
        <f>IFERROR(__xludf.DUMMYFUNCTION("""COMPUTED_VALUE"""),"Complex Case Review")</f>
        <v>Complex Case Review</v>
      </c>
      <c r="C59" s="30" t="str">
        <f>IFERROR(__xludf.DUMMYFUNCTION("""COMPUTED_VALUE"""),"TASK-2028")</f>
        <v>TASK-2028</v>
      </c>
      <c r="D59" s="37">
        <f>IFERROR(__xludf.DUMMYFUNCTION("""COMPUTED_VALUE"""),46199.76319444444)</f>
        <v>46199.76319</v>
      </c>
      <c r="E59" s="37">
        <f>IFERROR(__xludf.DUMMYFUNCTION("""COMPUTED_VALUE"""),46202.42986111111)</f>
        <v>46202.42986</v>
      </c>
      <c r="F59" s="36" t="str">
        <f>IFERROR(__xludf.DUMMYFUNCTION("""COMPUTED_VALUE"""),"N/A")</f>
        <v>N/A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4" t="str">
        <f>IFERROR(__xludf.DUMMYFUNCTION("""COMPUTED_VALUE"""),"Team Delta")</f>
        <v>Team Delta</v>
      </c>
      <c r="B60" s="34" t="str">
        <f>IFERROR(__xludf.DUMMYFUNCTION("""COMPUTED_VALUE"""),"Process Exception Investigation")</f>
        <v>Process Exception Investigation</v>
      </c>
      <c r="C60" s="34" t="str">
        <f>IFERROR(__xludf.DUMMYFUNCTION("""COMPUTED_VALUE"""),"TASK-2030")</f>
        <v>TASK-2030</v>
      </c>
      <c r="D60" s="35">
        <f>IFERROR(__xludf.DUMMYFUNCTION("""COMPUTED_VALUE"""),46202.72916666666)</f>
        <v>46202.72917</v>
      </c>
      <c r="E60" s="35">
        <f>IFERROR(__xludf.DUMMYFUNCTION("""COMPUTED_VALUE"""),46203.52083333334)</f>
        <v>46203.52083</v>
      </c>
      <c r="F60" s="39" t="str">
        <f>IFERROR(__xludf.DUMMYFUNCTION("""COMPUTED_VALUE"""),"N/A")</f>
        <v>N/A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0" t="str">
        <f>IFERROR(__xludf.DUMMYFUNCTION("""COMPUTED_VALUE"""),"Team Delta")</f>
        <v>Team Delta</v>
      </c>
      <c r="B61" s="30" t="str">
        <f>IFERROR(__xludf.DUMMYFUNCTION("""COMPUTED_VALUE"""),"Priority Escalation Review")</f>
        <v>Priority Escalation Review</v>
      </c>
      <c r="C61" s="30" t="str">
        <f>IFERROR(__xludf.DUMMYFUNCTION("""COMPUTED_VALUE"""),"TASK-2034")</f>
        <v>TASK-2034</v>
      </c>
      <c r="D61" s="37">
        <f>IFERROR(__xludf.DUMMYFUNCTION("""COMPUTED_VALUE"""),46201.92152777778)</f>
        <v>46201.92153</v>
      </c>
      <c r="E61" s="37">
        <f>IFERROR(__xludf.DUMMYFUNCTION("""COMPUTED_VALUE"""),46203.67152777778)</f>
        <v>46203.67153</v>
      </c>
      <c r="F61" s="36" t="str">
        <f>IFERROR(__xludf.DUMMYFUNCTION("""COMPUTED_VALUE"""),"No")</f>
        <v>No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4" t="str">
        <f>IFERROR(__xludf.DUMMYFUNCTION("""COMPUTED_VALUE"""),"Team Delta")</f>
        <v>Team Delta</v>
      </c>
      <c r="B62" s="34" t="str">
        <f>IFERROR(__xludf.DUMMYFUNCTION("""COMPUTED_VALUE"""),"Quality Review")</f>
        <v>Quality Review</v>
      </c>
      <c r="C62" s="34" t="str">
        <f>IFERROR(__xludf.DUMMYFUNCTION("""COMPUTED_VALUE"""),"TASK-2026")</f>
        <v>TASK-2026</v>
      </c>
      <c r="D62" s="35">
        <f>IFERROR(__xludf.DUMMYFUNCTION("""COMPUTED_VALUE"""),46201.80625)</f>
        <v>46201.80625</v>
      </c>
      <c r="E62" s="35">
        <f>IFERROR(__xludf.DUMMYFUNCTION("""COMPUTED_VALUE"""),46204.38958333333)</f>
        <v>46204.38958</v>
      </c>
      <c r="F62" s="39" t="str">
        <f>IFERROR(__xludf.DUMMYFUNCTION("""COMPUTED_VALUE"""),"N/A")</f>
        <v>N/A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0" t="str">
        <f>IFERROR(__xludf.DUMMYFUNCTION("""COMPUTED_VALUE"""),"Team Delta")</f>
        <v>Team Delta</v>
      </c>
      <c r="B63" s="30" t="str">
        <f>IFERROR(__xludf.DUMMYFUNCTION("""COMPUTED_VALUE"""),"Priority Escalation Review")</f>
        <v>Priority Escalation Review</v>
      </c>
      <c r="C63" s="30" t="str">
        <f>IFERROR(__xludf.DUMMYFUNCTION("""COMPUTED_VALUE"""),"TASK-2032")</f>
        <v>TASK-2032</v>
      </c>
      <c r="D63" s="37">
        <f>IFERROR(__xludf.DUMMYFUNCTION("""COMPUTED_VALUE"""),46203.44513888889)</f>
        <v>46203.44514</v>
      </c>
      <c r="E63" s="37">
        <f>IFERROR(__xludf.DUMMYFUNCTION("""COMPUTED_VALUE"""),46204.61180555556)</f>
        <v>46204.61181</v>
      </c>
      <c r="F63" s="36" t="str">
        <f>IFERROR(__xludf.DUMMYFUNCTION("""COMPUTED_VALUE"""),"Yes")</f>
        <v>Yes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4" t="str">
        <f>IFERROR(__xludf.DUMMYFUNCTION("""COMPUTED_VALUE"""),"Team Delta")</f>
        <v>Team Delta</v>
      </c>
      <c r="B64" s="34" t="str">
        <f>IFERROR(__xludf.DUMMYFUNCTION("""COMPUTED_VALUE"""),"Complex Case Review")</f>
        <v>Complex Case Review</v>
      </c>
      <c r="C64" s="34" t="str">
        <f>IFERROR(__xludf.DUMMYFUNCTION("""COMPUTED_VALUE"""),"TASK-2029")</f>
        <v>TASK-2029</v>
      </c>
      <c r="D64" s="35">
        <f>IFERROR(__xludf.DUMMYFUNCTION("""COMPUTED_VALUE"""),46202.52222222222)</f>
        <v>46202.52222</v>
      </c>
      <c r="E64" s="35">
        <f>IFERROR(__xludf.DUMMYFUNCTION("""COMPUTED_VALUE"""),46205.48055555556)</f>
        <v>46205.48056</v>
      </c>
      <c r="F64" s="36" t="str">
        <f>IFERROR(__xludf.DUMMYFUNCTION("""COMPUTED_VALUE"""),"N/A")</f>
        <v>N/A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0" t="str">
        <f>IFERROR(__xludf.DUMMYFUNCTION("""COMPUTED_VALUE"""),"Team Delta")</f>
        <v>Team Delta</v>
      </c>
      <c r="B65" s="30" t="str">
        <f>IFERROR(__xludf.DUMMYFUNCTION("""COMPUTED_VALUE"""),"Process Exception Investigation")</f>
        <v>Process Exception Investigation</v>
      </c>
      <c r="C65" s="30" t="str">
        <f>IFERROR(__xludf.DUMMYFUNCTION("""COMPUTED_VALUE"""),"TASK-2031")</f>
        <v>TASK-2031</v>
      </c>
      <c r="D65" s="37">
        <f>IFERROR(__xludf.DUMMYFUNCTION("""COMPUTED_VALUE"""),46205.48819444444)</f>
        <v>46205.48819</v>
      </c>
      <c r="E65" s="37">
        <f>IFERROR(__xludf.DUMMYFUNCTION("""COMPUTED_VALUE"""),46206.57152777778)</f>
        <v>46206.57153</v>
      </c>
      <c r="F65" s="39" t="str">
        <f>IFERROR(__xludf.DUMMYFUNCTION("""COMPUTED_VALUE"""),"N/A")</f>
        <v>N/A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4" t="str">
        <f>IFERROR(__xludf.DUMMYFUNCTION("""COMPUTED_VALUE"""),"Team Delta")</f>
        <v>Team Delta</v>
      </c>
      <c r="B66" s="34" t="str">
        <f>IFERROR(__xludf.DUMMYFUNCTION("""COMPUTED_VALUE"""),"Quality Review")</f>
        <v>Quality Review</v>
      </c>
      <c r="C66" s="34" t="str">
        <f>IFERROR(__xludf.DUMMYFUNCTION("""COMPUTED_VALUE"""),"TASK-2027")</f>
        <v>TASK-2027</v>
      </c>
      <c r="D66" s="35">
        <f>IFERROR(__xludf.DUMMYFUNCTION("""COMPUTED_VALUE"""),46204.56527777778)</f>
        <v>46204.56528</v>
      </c>
      <c r="E66" s="35">
        <f>IFERROR(__xludf.DUMMYFUNCTION("""COMPUTED_VALUE"""),46207.44027777778)</f>
        <v>46207.44028</v>
      </c>
      <c r="F66" s="39" t="str">
        <f>IFERROR(__xludf.DUMMYFUNCTION("""COMPUTED_VALUE"""),"N/A")</f>
        <v>N/A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0" t="str">
        <f>IFERROR(__xludf.DUMMYFUNCTION("""COMPUTED_VALUE"""),"Team Delta")</f>
        <v>Team Delta</v>
      </c>
      <c r="B67" s="30" t="str">
        <f>IFERROR(__xludf.DUMMYFUNCTION("""COMPUTED_VALUE"""),"Priority Escalation Review")</f>
        <v>Priority Escalation Review</v>
      </c>
      <c r="C67" s="30" t="str">
        <f>IFERROR(__xludf.DUMMYFUNCTION("""COMPUTED_VALUE"""),"TASK-2033")</f>
        <v>TASK-2033</v>
      </c>
      <c r="D67" s="37">
        <f>IFERROR(__xludf.DUMMYFUNCTION("""COMPUTED_VALUE"""),46206.20416666667)</f>
        <v>46206.20417</v>
      </c>
      <c r="E67" s="37">
        <f>IFERROR(__xludf.DUMMYFUNCTION("""COMPUTED_VALUE"""),46207.6625)</f>
        <v>46207.6625</v>
      </c>
      <c r="F67" s="36" t="str">
        <f>IFERROR(__xludf.DUMMYFUNCTION("""COMPUTED_VALUE"""),"No")</f>
        <v>No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4" t="str">
        <f>IFERROR(__xludf.DUMMYFUNCTION("""COMPUTED_VALUE"""),"Team Delta")</f>
        <v>Team Delta</v>
      </c>
      <c r="B68" s="34" t="str">
        <f>IFERROR(__xludf.DUMMYFUNCTION("""COMPUTED_VALUE"""),"Quality Review")</f>
        <v>Quality Review</v>
      </c>
      <c r="C68" s="34" t="str">
        <f>IFERROR(__xludf.DUMMYFUNCTION("""COMPUTED_VALUE"""),"TASK-2025")</f>
        <v>TASK-2025</v>
      </c>
      <c r="D68" s="35">
        <f>IFERROR(__xludf.DUMMYFUNCTION("""COMPUTED_VALUE"""),46206.38055555556)</f>
        <v>46206.38056</v>
      </c>
      <c r="E68" s="35">
        <f>IFERROR(__xludf.DUMMYFUNCTION("""COMPUTED_VALUE"""),46208.67222222222)</f>
        <v>46208.67222</v>
      </c>
      <c r="F68" s="36" t="str">
        <f>IFERROR(__xludf.DUMMYFUNCTION("""COMPUTED_VALUE"""),"N/A")</f>
        <v>N/A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0" t="str">
        <f>IFERROR(__xludf.DUMMYFUNCTION("""COMPUTED_VALUE"""),"Team Delta")</f>
        <v>Team Delta</v>
      </c>
      <c r="B69" s="30" t="str">
        <f>IFERROR(__xludf.DUMMYFUNCTION("""COMPUTED_VALUE"""),"Complex Case Review")</f>
        <v>Complex Case Review</v>
      </c>
      <c r="C69" s="30" t="str">
        <f>IFERROR(__xludf.DUMMYFUNCTION("""COMPUTED_VALUE"""),"TASK-2084")</f>
        <v>TASK-2084</v>
      </c>
      <c r="D69" s="37">
        <f>IFERROR(__xludf.DUMMYFUNCTION("""COMPUTED_VALUE"""),46208.49027777778)</f>
        <v>46208.49028</v>
      </c>
      <c r="E69" s="37">
        <f>IFERROR(__xludf.DUMMYFUNCTION("""COMPUTED_VALUE"""),46209.53194444445)</f>
        <v>46209.53194</v>
      </c>
      <c r="F69" s="36" t="str">
        <f>IFERROR(__xludf.DUMMYFUNCTION("""COMPUTED_VALUE"""),"N/A")</f>
        <v>N/A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4" t="str">
        <f>IFERROR(__xludf.DUMMYFUNCTION("""COMPUTED_VALUE"""),"Team Delta")</f>
        <v>Team Delta</v>
      </c>
      <c r="B70" s="34" t="str">
        <f>IFERROR(__xludf.DUMMYFUNCTION("""COMPUTED_VALUE"""),"Quality Review")</f>
        <v>Quality Review</v>
      </c>
      <c r="C70" s="34" t="str">
        <f>IFERROR(__xludf.DUMMYFUNCTION("""COMPUTED_VALUE"""),"TASK-2078")</f>
        <v>TASK-2078</v>
      </c>
      <c r="D70" s="35">
        <f>IFERROR(__xludf.DUMMYFUNCTION("""COMPUTED_VALUE"""),46207.33958333333)</f>
        <v>46207.33958</v>
      </c>
      <c r="E70" s="35">
        <f>IFERROR(__xludf.DUMMYFUNCTION("""COMPUTED_VALUE"""),46209.67291666667)</f>
        <v>46209.67292</v>
      </c>
      <c r="F70" s="36" t="str">
        <f>IFERROR(__xludf.DUMMYFUNCTION("""COMPUTED_VALUE"""),"N/A")</f>
        <v>N/A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0" t="str">
        <f>IFERROR(__xludf.DUMMYFUNCTION("""COMPUTED_VALUE"""),"Team Delta")</f>
        <v>Team Delta</v>
      </c>
      <c r="B71" s="30" t="str">
        <f>IFERROR(__xludf.DUMMYFUNCTION("""COMPUTED_VALUE"""),"Complex Case Review")</f>
        <v>Complex Case Review</v>
      </c>
      <c r="C71" s="30" t="str">
        <f>IFERROR(__xludf.DUMMYFUNCTION("""COMPUTED_VALUE"""),"TASK-2082")</f>
        <v>TASK-2082</v>
      </c>
      <c r="D71" s="37">
        <f>IFERROR(__xludf.DUMMYFUNCTION("""COMPUTED_VALUE"""),46207.72222222222)</f>
        <v>46207.72222</v>
      </c>
      <c r="E71" s="37">
        <f>IFERROR(__xludf.DUMMYFUNCTION("""COMPUTED_VALUE"""),46210.43055555555)</f>
        <v>46210.43056</v>
      </c>
      <c r="F71" s="36" t="str">
        <f>IFERROR(__xludf.DUMMYFUNCTION("""COMPUTED_VALUE"""),"N/A")</f>
        <v>N/A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4" t="str">
        <f>IFERROR(__xludf.DUMMYFUNCTION("""COMPUTED_VALUE"""),"Team Delta")</f>
        <v>Team Delta</v>
      </c>
      <c r="B72" s="34" t="str">
        <f>IFERROR(__xludf.DUMMYFUNCTION("""COMPUTED_VALUE"""),"Quality Review")</f>
        <v>Quality Review</v>
      </c>
      <c r="C72" s="34" t="str">
        <f>IFERROR(__xludf.DUMMYFUNCTION("""COMPUTED_VALUE"""),"TASK-2081")</f>
        <v>TASK-2081</v>
      </c>
      <c r="D72" s="35">
        <f>IFERROR(__xludf.DUMMYFUNCTION("""COMPUTED_VALUE"""),46210.53333333333)</f>
        <v>46210.53333</v>
      </c>
      <c r="E72" s="35">
        <f>IFERROR(__xludf.DUMMYFUNCTION("""COMPUTED_VALUE"""),46211.49166666667)</f>
        <v>46211.49167</v>
      </c>
      <c r="F72" s="39" t="str">
        <f>IFERROR(__xludf.DUMMYFUNCTION("""COMPUTED_VALUE"""),"N/A")</f>
        <v>N/A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0" t="str">
        <f>IFERROR(__xludf.DUMMYFUNCTION("""COMPUTED_VALUE"""),"Team Delta")</f>
        <v>Team Delta</v>
      </c>
      <c r="B73" s="30" t="str">
        <f>IFERROR(__xludf.DUMMYFUNCTION("""COMPUTED_VALUE"""),"Process Exception Investigation")</f>
        <v>Process Exception Investigation</v>
      </c>
      <c r="C73" s="30" t="str">
        <f>IFERROR(__xludf.DUMMYFUNCTION("""COMPUTED_VALUE"""),"TASK-2085")</f>
        <v>TASK-2085</v>
      </c>
      <c r="D73" s="37">
        <f>IFERROR(__xludf.DUMMYFUNCTION("""COMPUTED_VALUE"""),46210.68819444445)</f>
        <v>46210.68819</v>
      </c>
      <c r="E73" s="37">
        <f>IFERROR(__xludf.DUMMYFUNCTION("""COMPUTED_VALUE"""),46211.52152777778)</f>
        <v>46211.52153</v>
      </c>
      <c r="F73" s="36" t="str">
        <f>IFERROR(__xludf.DUMMYFUNCTION("""COMPUTED_VALUE"""),"N/A")</f>
        <v>N/A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4" t="str">
        <f>IFERROR(__xludf.DUMMYFUNCTION("""COMPUTED_VALUE"""),"Team Delta")</f>
        <v>Team Delta</v>
      </c>
      <c r="B74" s="34" t="str">
        <f>IFERROR(__xludf.DUMMYFUNCTION("""COMPUTED_VALUE"""),"Quality Review")</f>
        <v>Quality Review</v>
      </c>
      <c r="C74" s="34" t="str">
        <f>IFERROR(__xludf.DUMMYFUNCTION("""COMPUTED_VALUE"""),"TASK-2079")</f>
        <v>TASK-2079</v>
      </c>
      <c r="D74" s="35">
        <f>IFERROR(__xludf.DUMMYFUNCTION("""COMPUTED_VALUE"""),46209.76527777778)</f>
        <v>46209.76528</v>
      </c>
      <c r="E74" s="35">
        <f>IFERROR(__xludf.DUMMYFUNCTION("""COMPUTED_VALUE"""),46212.39027777778)</f>
        <v>46212.39028</v>
      </c>
      <c r="F74" s="36" t="str">
        <f>IFERROR(__xludf.DUMMYFUNCTION("""COMPUTED_VALUE"""),"N/A")</f>
        <v>N/A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0" t="str">
        <f>IFERROR(__xludf.DUMMYFUNCTION("""COMPUTED_VALUE"""),"Team Delta")</f>
        <v>Team Delta</v>
      </c>
      <c r="B75" s="30" t="str">
        <f>IFERROR(__xludf.DUMMYFUNCTION("""COMPUTED_VALUE"""),"Priority Escalation Review")</f>
        <v>Priority Escalation Review</v>
      </c>
      <c r="C75" s="30" t="str">
        <f>IFERROR(__xludf.DUMMYFUNCTION("""COMPUTED_VALUE"""),"TASK-2087")</f>
        <v>TASK-2087</v>
      </c>
      <c r="D75" s="37">
        <f>IFERROR(__xludf.DUMMYFUNCTION("""COMPUTED_VALUE"""),46211.40416666667)</f>
        <v>46211.40417</v>
      </c>
      <c r="E75" s="37">
        <f>IFERROR(__xludf.DUMMYFUNCTION("""COMPUTED_VALUE"""),46212.6125)</f>
        <v>46212.6125</v>
      </c>
      <c r="F75" s="39" t="str">
        <f>IFERROR(__xludf.DUMMYFUNCTION("""COMPUTED_VALUE"""),"Yes")</f>
        <v>Yes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4" t="str">
        <f>IFERROR(__xludf.DUMMYFUNCTION("""COMPUTED_VALUE"""),"Team Delta")</f>
        <v>Team Delta</v>
      </c>
      <c r="B76" s="34" t="str">
        <f>IFERROR(__xludf.DUMMYFUNCTION("""COMPUTED_VALUE"""),"Complex Case Review")</f>
        <v>Complex Case Review</v>
      </c>
      <c r="C76" s="34" t="str">
        <f>IFERROR(__xludf.DUMMYFUNCTION("""COMPUTED_VALUE"""),"TASK-2083")</f>
        <v>TASK-2083</v>
      </c>
      <c r="D76" s="35">
        <f>IFERROR(__xludf.DUMMYFUNCTION("""COMPUTED_VALUE"""),46212.73125)</f>
        <v>46212.73125</v>
      </c>
      <c r="E76" s="35">
        <f>IFERROR(__xludf.DUMMYFUNCTION("""COMPUTED_VALUE"""),46213.48125)</f>
        <v>46213.48125</v>
      </c>
      <c r="F76" s="39" t="str">
        <f>IFERROR(__xludf.DUMMYFUNCTION("""COMPUTED_VALUE"""),"N/A")</f>
        <v>N/A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0" t="str">
        <f>IFERROR(__xludf.DUMMYFUNCTION("""COMPUTED_VALUE"""),"Team Delta")</f>
        <v>Team Delta</v>
      </c>
      <c r="B77" s="30" t="str">
        <f>IFERROR(__xludf.DUMMYFUNCTION("""COMPUTED_VALUE"""),"Process Exception Investigation")</f>
        <v>Process Exception Investigation</v>
      </c>
      <c r="C77" s="30" t="str">
        <f>IFERROR(__xludf.DUMMYFUNCTION("""COMPUTED_VALUE"""),"TASK-2086")</f>
        <v>TASK-2086</v>
      </c>
      <c r="D77" s="37">
        <f>IFERROR(__xludf.DUMMYFUNCTION("""COMPUTED_VALUE"""),46213.44722222222)</f>
        <v>46213.44722</v>
      </c>
      <c r="E77" s="37">
        <f>IFERROR(__xludf.DUMMYFUNCTION("""COMPUTED_VALUE"""),46214.57222222222)</f>
        <v>46214.57222</v>
      </c>
      <c r="F77" s="36" t="str">
        <f>IFERROR(__xludf.DUMMYFUNCTION("""COMPUTED_VALUE"""),"N/A")</f>
        <v>N/A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4" t="str">
        <f>IFERROR(__xludf.DUMMYFUNCTION("""COMPUTED_VALUE"""),"Team Delta")</f>
        <v>Team Delta</v>
      </c>
      <c r="B78" s="34" t="str">
        <f>IFERROR(__xludf.DUMMYFUNCTION("""COMPUTED_VALUE"""),"Quality Review")</f>
        <v>Quality Review</v>
      </c>
      <c r="C78" s="34" t="str">
        <f>IFERROR(__xludf.DUMMYFUNCTION("""COMPUTED_VALUE"""),"TASK-2080")</f>
        <v>TASK-2080</v>
      </c>
      <c r="D78" s="35">
        <f>IFERROR(__xludf.DUMMYFUNCTION("""COMPUTED_VALUE"""),46212.52430555555)</f>
        <v>46212.52431</v>
      </c>
      <c r="E78" s="35">
        <f>IFERROR(__xludf.DUMMYFUNCTION("""COMPUTED_VALUE"""),46215.44097222222)</f>
        <v>46215.44097</v>
      </c>
      <c r="F78" s="36" t="str">
        <f>IFERROR(__xludf.DUMMYFUNCTION("""COMPUTED_VALUE"""),"N/A")</f>
        <v>N/A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0" t="str">
        <f>IFERROR(__xludf.DUMMYFUNCTION("""COMPUTED_VALUE"""),"Team Delta")</f>
        <v>Team Delta</v>
      </c>
      <c r="B79" s="30" t="str">
        <f>IFERROR(__xludf.DUMMYFUNCTION("""COMPUTED_VALUE"""),"Priority Escalation Review")</f>
        <v>Priority Escalation Review</v>
      </c>
      <c r="C79" s="30" t="str">
        <f>IFERROR(__xludf.DUMMYFUNCTION("""COMPUTED_VALUE"""),"TASK-2088")</f>
        <v>TASK-2088</v>
      </c>
      <c r="D79" s="37">
        <f>IFERROR(__xludf.DUMMYFUNCTION("""COMPUTED_VALUE"""),46214.16319444445)</f>
        <v>46214.16319</v>
      </c>
      <c r="E79" s="37">
        <f>IFERROR(__xludf.DUMMYFUNCTION("""COMPUTED_VALUE"""),46215.66319444445)</f>
        <v>46215.66319</v>
      </c>
      <c r="F79" s="36" t="str">
        <f>IFERROR(__xludf.DUMMYFUNCTION("""COMPUTED_VALUE"""),"No")</f>
        <v>No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4" t="str">
        <f>IFERROR(__xludf.DUMMYFUNCTION("""COMPUTED_VALUE"""),"Team Epsilon")</f>
        <v>Team Epsilon</v>
      </c>
      <c r="B80" s="34" t="str">
        <f>IFERROR(__xludf.DUMMYFUNCTION("""COMPUTED_VALUE"""),"Priority Escalation Review")</f>
        <v>Priority Escalation Review</v>
      </c>
      <c r="C80" s="34" t="str">
        <f>IFERROR(__xludf.DUMMYFUNCTION("""COMPUTED_VALUE"""),"TASK-2043")</f>
        <v>TASK-2043</v>
      </c>
      <c r="D80" s="35">
        <f>IFERROR(__xludf.DUMMYFUNCTION("""COMPUTED_VALUE"""),46201.00208333333)</f>
        <v>46201.00208</v>
      </c>
      <c r="E80" s="35">
        <f>IFERROR(__xludf.DUMMYFUNCTION("""COMPUTED_VALUE"""),46202.66875)</f>
        <v>46202.66875</v>
      </c>
      <c r="F80" s="36" t="str">
        <f>IFERROR(__xludf.DUMMYFUNCTION("""COMPUTED_VALUE"""),"Yes")</f>
        <v>Yes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0" t="str">
        <f>IFERROR(__xludf.DUMMYFUNCTION("""COMPUTED_VALUE"""),"Team Epsilon")</f>
        <v>Team Epsilon</v>
      </c>
      <c r="B81" s="30" t="str">
        <f>IFERROR(__xludf.DUMMYFUNCTION("""COMPUTED_VALUE"""),"Quality Review")</f>
        <v>Quality Review</v>
      </c>
      <c r="C81" s="30" t="str">
        <f>IFERROR(__xludf.DUMMYFUNCTION("""COMPUTED_VALUE"""),"TASK-2035")</f>
        <v>TASK-2035</v>
      </c>
      <c r="D81" s="37">
        <f>IFERROR(__xludf.DUMMYFUNCTION("""COMPUTED_VALUE"""),46200.88680555556)</f>
        <v>46200.88681</v>
      </c>
      <c r="E81" s="37">
        <f>IFERROR(__xludf.DUMMYFUNCTION("""COMPUTED_VALUE"""),46203.38680555556)</f>
        <v>46203.38681</v>
      </c>
      <c r="F81" s="36" t="str">
        <f>IFERROR(__xludf.DUMMYFUNCTION("""COMPUTED_VALUE"""),"N/A")</f>
        <v>N/A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4" t="str">
        <f>IFERROR(__xludf.DUMMYFUNCTION("""COMPUTED_VALUE"""),"Team Epsilon")</f>
        <v>Team Epsilon</v>
      </c>
      <c r="B82" s="34" t="str">
        <f>IFERROR(__xludf.DUMMYFUNCTION("""COMPUTED_VALUE"""),"Complex Case Review")</f>
        <v>Complex Case Review</v>
      </c>
      <c r="C82" s="34" t="str">
        <f>IFERROR(__xludf.DUMMYFUNCTION("""COMPUTED_VALUE"""),"TASK-2039")</f>
        <v>TASK-2039</v>
      </c>
      <c r="D82" s="35">
        <f>IFERROR(__xludf.DUMMYFUNCTION("""COMPUTED_VALUE"""),46202.37083333333)</f>
        <v>46202.37083</v>
      </c>
      <c r="E82" s="35">
        <f>IFERROR(__xludf.DUMMYFUNCTION("""COMPUTED_VALUE"""),46203.57916666667)</f>
        <v>46203.57917</v>
      </c>
      <c r="F82" s="36" t="str">
        <f>IFERROR(__xludf.DUMMYFUNCTION("""COMPUTED_VALUE"""),"N/A")</f>
        <v>N/A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0" t="str">
        <f>IFERROR(__xludf.DUMMYFUNCTION("""COMPUTED_VALUE"""),"Team Epsilon")</f>
        <v>Team Epsilon</v>
      </c>
      <c r="B83" s="30" t="str">
        <f>IFERROR(__xludf.DUMMYFUNCTION("""COMPUTED_VALUE"""),"Complex Case Review")</f>
        <v>Complex Case Review</v>
      </c>
      <c r="C83" s="30" t="str">
        <f>IFERROR(__xludf.DUMMYFUNCTION("""COMPUTED_VALUE"""),"TASK-2037")</f>
        <v>TASK-2037</v>
      </c>
      <c r="D83" s="37">
        <f>IFERROR(__xludf.DUMMYFUNCTION("""COMPUTED_VALUE"""),46201.60277777778)</f>
        <v>46201.60278</v>
      </c>
      <c r="E83" s="37">
        <f>IFERROR(__xludf.DUMMYFUNCTION("""COMPUTED_VALUE"""),46204.47777777778)</f>
        <v>46204.47778</v>
      </c>
      <c r="F83" s="39" t="str">
        <f>IFERROR(__xludf.DUMMYFUNCTION("""COMPUTED_VALUE"""),"N/A")</f>
        <v>N/A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4" t="str">
        <f>IFERROR(__xludf.DUMMYFUNCTION("""COMPUTED_VALUE"""),"Team Epsilon")</f>
        <v>Team Epsilon</v>
      </c>
      <c r="B84" s="34" t="str">
        <f>IFERROR(__xludf.DUMMYFUNCTION("""COMPUTED_VALUE"""),"Priority Escalation Review")</f>
        <v>Priority Escalation Review</v>
      </c>
      <c r="C84" s="34" t="str">
        <f>IFERROR(__xludf.DUMMYFUNCTION("""COMPUTED_VALUE"""),"TASK-2044")</f>
        <v>TASK-2044</v>
      </c>
      <c r="D84" s="35">
        <f>IFERROR(__xludf.DUMMYFUNCTION("""COMPUTED_VALUE"""),46203.42777777778)</f>
        <v>46203.42778</v>
      </c>
      <c r="E84" s="35">
        <f>IFERROR(__xludf.DUMMYFUNCTION("""COMPUTED_VALUE"""),46205.38611111111)</f>
        <v>46205.38611</v>
      </c>
      <c r="F84" s="36" t="str">
        <f>IFERROR(__xludf.DUMMYFUNCTION("""COMPUTED_VALUE"""),"No")</f>
        <v>No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0" t="str">
        <f>IFERROR(__xludf.DUMMYFUNCTION("""COMPUTED_VALUE"""),"Team Epsilon")</f>
        <v>Team Epsilon</v>
      </c>
      <c r="B85" s="30" t="str">
        <f>IFERROR(__xludf.DUMMYFUNCTION("""COMPUTED_VALUE"""),"Process Exception Investigation")</f>
        <v>Process Exception Investigation</v>
      </c>
      <c r="C85" s="30" t="str">
        <f>IFERROR(__xludf.DUMMYFUNCTION("""COMPUTED_VALUE"""),"TASK-2040")</f>
        <v>TASK-2040</v>
      </c>
      <c r="D85" s="37">
        <f>IFERROR(__xludf.DUMMYFUNCTION("""COMPUTED_VALUE"""),46204.56875)</f>
        <v>46204.56875</v>
      </c>
      <c r="E85" s="37">
        <f>IFERROR(__xludf.DUMMYFUNCTION("""COMPUTED_VALUE"""),46205.56875)</f>
        <v>46205.56875</v>
      </c>
      <c r="F85" s="36" t="str">
        <f>IFERROR(__xludf.DUMMYFUNCTION("""COMPUTED_VALUE"""),"N/A")</f>
        <v>N/A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4" t="str">
        <f>IFERROR(__xludf.DUMMYFUNCTION("""COMPUTED_VALUE"""),"Team Epsilon")</f>
        <v>Team Epsilon</v>
      </c>
      <c r="B86" s="34" t="str">
        <f>IFERROR(__xludf.DUMMYFUNCTION("""COMPUTED_VALUE"""),"Quality Review")</f>
        <v>Quality Review</v>
      </c>
      <c r="C86" s="34" t="str">
        <f>IFERROR(__xludf.DUMMYFUNCTION("""COMPUTED_VALUE"""),"TASK-2036")</f>
        <v>TASK-2036</v>
      </c>
      <c r="D86" s="35">
        <f>IFERROR(__xludf.DUMMYFUNCTION("""COMPUTED_VALUE"""),46203.64583333334)</f>
        <v>46203.64583</v>
      </c>
      <c r="E86" s="35">
        <f>IFERROR(__xludf.DUMMYFUNCTION("""COMPUTED_VALUE"""),46206.4375)</f>
        <v>46206.4375</v>
      </c>
      <c r="F86" s="39" t="str">
        <f>IFERROR(__xludf.DUMMYFUNCTION("""COMPUTED_VALUE"""),"N/A")</f>
        <v>N/A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0" t="str">
        <f>IFERROR(__xludf.DUMMYFUNCTION("""COMPUTED_VALUE"""),"Team Epsilon")</f>
        <v>Team Epsilon</v>
      </c>
      <c r="B87" s="30" t="str">
        <f>IFERROR(__xludf.DUMMYFUNCTION("""COMPUTED_VALUE"""),"Priority Escalation Review")</f>
        <v>Priority Escalation Review</v>
      </c>
      <c r="C87" s="30" t="str">
        <f>IFERROR(__xludf.DUMMYFUNCTION("""COMPUTED_VALUE"""),"TASK-2042")</f>
        <v>TASK-2042</v>
      </c>
      <c r="D87" s="37">
        <f>IFERROR(__xludf.DUMMYFUNCTION("""COMPUTED_VALUE"""),46205.28472222222)</f>
        <v>46205.28472</v>
      </c>
      <c r="E87" s="37">
        <f>IFERROR(__xludf.DUMMYFUNCTION("""COMPUTED_VALUE"""),46206.65972222222)</f>
        <v>46206.65972</v>
      </c>
      <c r="F87" s="39" t="str">
        <f>IFERROR(__xludf.DUMMYFUNCTION("""COMPUTED_VALUE"""),"Yes")</f>
        <v>Yes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4" t="str">
        <f>IFERROR(__xludf.DUMMYFUNCTION("""COMPUTED_VALUE"""),"Team Epsilon")</f>
        <v>Team Epsilon</v>
      </c>
      <c r="B88" s="34" t="str">
        <f>IFERROR(__xludf.DUMMYFUNCTION("""COMPUTED_VALUE"""),"Complex Case Review")</f>
        <v>Complex Case Review</v>
      </c>
      <c r="C88" s="34" t="str">
        <f>IFERROR(__xludf.DUMMYFUNCTION("""COMPUTED_VALUE"""),"TASK-2038")</f>
        <v>TASK-2038</v>
      </c>
      <c r="D88" s="35">
        <f>IFERROR(__xludf.DUMMYFUNCTION("""COMPUTED_VALUE"""),46206.61180555556)</f>
        <v>46206.61181</v>
      </c>
      <c r="E88" s="35">
        <f>IFERROR(__xludf.DUMMYFUNCTION("""COMPUTED_VALUE"""),46207.52847222222)</f>
        <v>46207.52847</v>
      </c>
      <c r="F88" s="36" t="str">
        <f>IFERROR(__xludf.DUMMYFUNCTION("""COMPUTED_VALUE"""),"N/A")</f>
        <v>N/A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0" t="str">
        <f>IFERROR(__xludf.DUMMYFUNCTION("""COMPUTED_VALUE"""),"Team Epsilon")</f>
        <v>Team Epsilon</v>
      </c>
      <c r="B89" s="30" t="str">
        <f>IFERROR(__xludf.DUMMYFUNCTION("""COMPUTED_VALUE"""),"Process Exception Investigation")</f>
        <v>Process Exception Investigation</v>
      </c>
      <c r="C89" s="30" t="str">
        <f>IFERROR(__xludf.DUMMYFUNCTION("""COMPUTED_VALUE"""),"TASK-2041")</f>
        <v>TASK-2041</v>
      </c>
      <c r="D89" s="37">
        <f>IFERROR(__xludf.DUMMYFUNCTION("""COMPUTED_VALUE"""),46207.32777777778)</f>
        <v>46207.32778</v>
      </c>
      <c r="E89" s="37">
        <f>IFERROR(__xludf.DUMMYFUNCTION("""COMPUTED_VALUE"""),46208.61944444444)</f>
        <v>46208.61944</v>
      </c>
      <c r="F89" s="36" t="str">
        <f>IFERROR(__xludf.DUMMYFUNCTION("""COMPUTED_VALUE"""),"N/A")</f>
        <v>N/A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4" t="str">
        <f>IFERROR(__xludf.DUMMYFUNCTION("""COMPUTED_VALUE"""),"Team Epsilon")</f>
        <v>Team Epsilon</v>
      </c>
      <c r="B90" s="34" t="str">
        <f>IFERROR(__xludf.DUMMYFUNCTION("""COMPUTED_VALUE"""),"Priority Escalation Review")</f>
        <v>Priority Escalation Review</v>
      </c>
      <c r="C90" s="34" t="str">
        <f>IFERROR(__xludf.DUMMYFUNCTION("""COMPUTED_VALUE"""),"TASK-2100")</f>
        <v>TASK-2100</v>
      </c>
      <c r="D90" s="35">
        <f>IFERROR(__xludf.DUMMYFUNCTION("""COMPUTED_VALUE"""),46207.14583333334)</f>
        <v>46207.14583</v>
      </c>
      <c r="E90" s="35">
        <f>IFERROR(__xludf.DUMMYFUNCTION("""COMPUTED_VALUE"""),46209.4375)</f>
        <v>46209.4375</v>
      </c>
      <c r="F90" s="36" t="str">
        <f>IFERROR(__xludf.DUMMYFUNCTION("""COMPUTED_VALUE"""),"No")</f>
        <v>No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0" t="str">
        <f>IFERROR(__xludf.DUMMYFUNCTION("""COMPUTED_VALUE"""),"Team Epsilon")</f>
        <v>Team Epsilon</v>
      </c>
      <c r="B91" s="30" t="str">
        <f>IFERROR(__xludf.DUMMYFUNCTION("""COMPUTED_VALUE"""),"Process Exception Investigation")</f>
        <v>Process Exception Investigation</v>
      </c>
      <c r="C91" s="30" t="str">
        <f>IFERROR(__xludf.DUMMYFUNCTION("""COMPUTED_VALUE"""),"TASK-2095")</f>
        <v>TASK-2095</v>
      </c>
      <c r="D91" s="37">
        <f>IFERROR(__xludf.DUMMYFUNCTION("""COMPUTED_VALUE"""),46208.28680555556)</f>
        <v>46208.28681</v>
      </c>
      <c r="E91" s="37">
        <f>IFERROR(__xludf.DUMMYFUNCTION("""COMPUTED_VALUE"""),46209.62013888889)</f>
        <v>46209.62014</v>
      </c>
      <c r="F91" s="36" t="str">
        <f>IFERROR(__xludf.DUMMYFUNCTION("""COMPUTED_VALUE"""),"N/A")</f>
        <v>N/A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4" t="str">
        <f>IFERROR(__xludf.DUMMYFUNCTION("""COMPUTED_VALUE"""),"Team Epsilon")</f>
        <v>Team Epsilon</v>
      </c>
      <c r="B92" s="34" t="str">
        <f>IFERROR(__xludf.DUMMYFUNCTION("""COMPUTED_VALUE"""),"Quality Review")</f>
        <v>Quality Review</v>
      </c>
      <c r="C92" s="34" t="str">
        <f>IFERROR(__xludf.DUMMYFUNCTION("""COMPUTED_VALUE"""),"TASK-2091")</f>
        <v>TASK-2091</v>
      </c>
      <c r="D92" s="35">
        <f>IFERROR(__xludf.DUMMYFUNCTION("""COMPUTED_VALUE"""),46209.61388888889)</f>
        <v>46209.61389</v>
      </c>
      <c r="E92" s="35">
        <f>IFERROR(__xludf.DUMMYFUNCTION("""COMPUTED_VALUE"""),46210.48888888889)</f>
        <v>46210.48889</v>
      </c>
      <c r="F92" s="36" t="str">
        <f>IFERROR(__xludf.DUMMYFUNCTION("""COMPUTED_VALUE"""),"N/A")</f>
        <v>N/A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0" t="str">
        <f>IFERROR(__xludf.DUMMYFUNCTION("""COMPUTED_VALUE"""),"Team Epsilon")</f>
        <v>Team Epsilon</v>
      </c>
      <c r="B93" s="30" t="str">
        <f>IFERROR(__xludf.DUMMYFUNCTION("""COMPUTED_VALUE"""),"Priority Escalation Review")</f>
        <v>Priority Escalation Review</v>
      </c>
      <c r="C93" s="30" t="str">
        <f>IFERROR(__xludf.DUMMYFUNCTION("""COMPUTED_VALUE"""),"TASK-2098")</f>
        <v>TASK-2098</v>
      </c>
      <c r="D93" s="37">
        <f>IFERROR(__xludf.DUMMYFUNCTION("""COMPUTED_VALUE"""),46208.96111111111)</f>
        <v>46208.96111</v>
      </c>
      <c r="E93" s="37">
        <f>IFERROR(__xludf.DUMMYFUNCTION("""COMPUTED_VALUE"""),46210.66944444444)</f>
        <v>46210.66944</v>
      </c>
      <c r="F93" s="39" t="str">
        <f>IFERROR(__xludf.DUMMYFUNCTION("""COMPUTED_VALUE"""),"No")</f>
        <v>No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4" t="str">
        <f>IFERROR(__xludf.DUMMYFUNCTION("""COMPUTED_VALUE"""),"Team Epsilon")</f>
        <v>Team Epsilon</v>
      </c>
      <c r="B94" s="34" t="str">
        <f>IFERROR(__xludf.DUMMYFUNCTION("""COMPUTED_VALUE"""),"Quality Review")</f>
        <v>Quality Review</v>
      </c>
      <c r="C94" s="34" t="str">
        <f>IFERROR(__xludf.DUMMYFUNCTION("""COMPUTED_VALUE"""),"TASK-2089")</f>
        <v>TASK-2089</v>
      </c>
      <c r="D94" s="35">
        <f>IFERROR(__xludf.DUMMYFUNCTION("""COMPUTED_VALUE"""),46208.84583333333)</f>
        <v>46208.84583</v>
      </c>
      <c r="E94" s="35">
        <f>IFERROR(__xludf.DUMMYFUNCTION("""COMPUTED_VALUE"""),46211.3875)</f>
        <v>46211.3875</v>
      </c>
      <c r="F94" s="36" t="str">
        <f>IFERROR(__xludf.DUMMYFUNCTION("""COMPUTED_VALUE"""),"N/A")</f>
        <v>N/A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0" t="str">
        <f>IFERROR(__xludf.DUMMYFUNCTION("""COMPUTED_VALUE"""),"Team Epsilon")</f>
        <v>Team Epsilon</v>
      </c>
      <c r="B95" s="30" t="str">
        <f>IFERROR(__xludf.DUMMYFUNCTION("""COMPUTED_VALUE"""),"Complex Case Review")</f>
        <v>Complex Case Review</v>
      </c>
      <c r="C95" s="30" t="str">
        <f>IFERROR(__xludf.DUMMYFUNCTION("""COMPUTED_VALUE"""),"TASK-2092")</f>
        <v>TASK-2092</v>
      </c>
      <c r="D95" s="37">
        <f>IFERROR(__xludf.DUMMYFUNCTION("""COMPUTED_VALUE"""),46209.56180555555)</f>
        <v>46209.56181</v>
      </c>
      <c r="E95" s="37">
        <f>IFERROR(__xludf.DUMMYFUNCTION("""COMPUTED_VALUE"""),46212.47847222222)</f>
        <v>46212.47847</v>
      </c>
      <c r="F95" s="36" t="str">
        <f>IFERROR(__xludf.DUMMYFUNCTION("""COMPUTED_VALUE"""),"N/A")</f>
        <v>N/A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4" t="str">
        <f>IFERROR(__xludf.DUMMYFUNCTION("""COMPUTED_VALUE"""),"Team Epsilon")</f>
        <v>Team Epsilon</v>
      </c>
      <c r="B96" s="34" t="str">
        <f>IFERROR(__xludf.DUMMYFUNCTION("""COMPUTED_VALUE"""),"Process Exception Investigation")</f>
        <v>Process Exception Investigation</v>
      </c>
      <c r="C96" s="34" t="str">
        <f>IFERROR(__xludf.DUMMYFUNCTION("""COMPUTED_VALUE"""),"TASK-2096")</f>
        <v>TASK-2096</v>
      </c>
      <c r="D96" s="35">
        <f>IFERROR(__xludf.DUMMYFUNCTION("""COMPUTED_VALUE"""),46211.00416666667)</f>
        <v>46211.00417</v>
      </c>
      <c r="E96" s="35">
        <f>IFERROR(__xludf.DUMMYFUNCTION("""COMPUTED_VALUE"""),46212.62916666667)</f>
        <v>46212.62917</v>
      </c>
      <c r="F96" s="39" t="str">
        <f>IFERROR(__xludf.DUMMYFUNCTION("""COMPUTED_VALUE"""),"N/A")</f>
        <v>N/A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0" t="str">
        <f>IFERROR(__xludf.DUMMYFUNCTION("""COMPUTED_VALUE"""),"Team Epsilon")</f>
        <v>Team Epsilon</v>
      </c>
      <c r="B97" s="30" t="str">
        <f>IFERROR(__xludf.DUMMYFUNCTION("""COMPUTED_VALUE"""),"Priority Escalation Review")</f>
        <v>Priority Escalation Review</v>
      </c>
      <c r="C97" s="30" t="str">
        <f>IFERROR(__xludf.DUMMYFUNCTION("""COMPUTED_VALUE"""),"TASK-2099")</f>
        <v>TASK-2099</v>
      </c>
      <c r="D97" s="37">
        <f>IFERROR(__xludf.DUMMYFUNCTION("""COMPUTED_VALUE"""),46211.38680555556)</f>
        <v>46211.38681</v>
      </c>
      <c r="E97" s="37">
        <f>IFERROR(__xludf.DUMMYFUNCTION("""COMPUTED_VALUE"""),46213.38680555556)</f>
        <v>46213.38681</v>
      </c>
      <c r="F97" s="39" t="str">
        <f>IFERROR(__xludf.DUMMYFUNCTION("""COMPUTED_VALUE"""),"No")</f>
        <v>No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4" t="str">
        <f>IFERROR(__xludf.DUMMYFUNCTION("""COMPUTED_VALUE"""),"Team Epsilon")</f>
        <v>Team Epsilon</v>
      </c>
      <c r="B98" s="34" t="str">
        <f>IFERROR(__xludf.DUMMYFUNCTION("""COMPUTED_VALUE"""),"Process Exception Investigation")</f>
        <v>Process Exception Investigation</v>
      </c>
      <c r="C98" s="34" t="str">
        <f>IFERROR(__xludf.DUMMYFUNCTION("""COMPUTED_VALUE"""),"TASK-2094")</f>
        <v>TASK-2094</v>
      </c>
      <c r="D98" s="35">
        <f>IFERROR(__xludf.DUMMYFUNCTION("""COMPUTED_VALUE"""),46212.52777777778)</f>
        <v>46212.52778</v>
      </c>
      <c r="E98" s="35">
        <f>IFERROR(__xludf.DUMMYFUNCTION("""COMPUTED_VALUE"""),46213.56944444445)</f>
        <v>46213.56944</v>
      </c>
      <c r="F98" s="36" t="str">
        <f>IFERROR(__xludf.DUMMYFUNCTION("""COMPUTED_VALUE"""),"N/A")</f>
        <v>N/A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0" t="str">
        <f>IFERROR(__xludf.DUMMYFUNCTION("""COMPUTED_VALUE"""),"Team Epsilon")</f>
        <v>Team Epsilon</v>
      </c>
      <c r="B99" s="30" t="str">
        <f>IFERROR(__xludf.DUMMYFUNCTION("""COMPUTED_VALUE"""),"Quality Review")</f>
        <v>Quality Review</v>
      </c>
      <c r="C99" s="30" t="str">
        <f>IFERROR(__xludf.DUMMYFUNCTION("""COMPUTED_VALUE"""),"TASK-2090")</f>
        <v>TASK-2090</v>
      </c>
      <c r="D99" s="37">
        <f>IFERROR(__xludf.DUMMYFUNCTION("""COMPUTED_VALUE"""),46211.60486111111)</f>
        <v>46211.60486</v>
      </c>
      <c r="E99" s="37">
        <f>IFERROR(__xludf.DUMMYFUNCTION("""COMPUTED_VALUE"""),46214.43819444445)</f>
        <v>46214.43819</v>
      </c>
      <c r="F99" s="36" t="str">
        <f>IFERROR(__xludf.DUMMYFUNCTION("""COMPUTED_VALUE"""),"N/A")</f>
        <v>N/A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4" t="str">
        <f>IFERROR(__xludf.DUMMYFUNCTION("""COMPUTED_VALUE"""),"Team Epsilon")</f>
        <v>Team Epsilon</v>
      </c>
      <c r="B100" s="34" t="str">
        <f>IFERROR(__xludf.DUMMYFUNCTION("""COMPUTED_VALUE"""),"Priority Escalation Review")</f>
        <v>Priority Escalation Review</v>
      </c>
      <c r="C100" s="34" t="str">
        <f>IFERROR(__xludf.DUMMYFUNCTION("""COMPUTED_VALUE"""),"TASK-2097")</f>
        <v>TASK-2097</v>
      </c>
      <c r="D100" s="35">
        <f>IFERROR(__xludf.DUMMYFUNCTION("""COMPUTED_VALUE"""),46213.24375)</f>
        <v>46213.24375</v>
      </c>
      <c r="E100" s="35">
        <f>IFERROR(__xludf.DUMMYFUNCTION("""COMPUTED_VALUE"""),46214.66041666667)</f>
        <v>46214.66042</v>
      </c>
      <c r="F100" s="36" t="str">
        <f>IFERROR(__xludf.DUMMYFUNCTION("""COMPUTED_VALUE"""),"Yes")</f>
        <v>Yes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0" t="str">
        <f>IFERROR(__xludf.DUMMYFUNCTION("""COMPUTED_VALUE"""),"Team Epsilon")</f>
        <v>Team Epsilon</v>
      </c>
      <c r="B101" s="30" t="str">
        <f>IFERROR(__xludf.DUMMYFUNCTION("""COMPUTED_VALUE"""),"Complex Case Review")</f>
        <v>Complex Case Review</v>
      </c>
      <c r="C101" s="30" t="str">
        <f>IFERROR(__xludf.DUMMYFUNCTION("""COMPUTED_VALUE"""),"TASK-2093")</f>
        <v>TASK-2093</v>
      </c>
      <c r="D101" s="37">
        <f>IFERROR(__xludf.DUMMYFUNCTION("""COMPUTED_VALUE"""),46214.57083333333)</f>
        <v>46214.57083</v>
      </c>
      <c r="E101" s="37">
        <f>IFERROR(__xludf.DUMMYFUNCTION("""COMPUTED_VALUE"""),46215.52916666667)</f>
        <v>46215.52917</v>
      </c>
      <c r="F101" s="36" t="str">
        <f>IFERROR(__xludf.DUMMYFUNCTION("""COMPUTED_VALUE"""),"N/A")</f>
        <v>N/A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16.0"/>
    <col customWidth="1" min="4" max="5" width="21.0"/>
    <col customWidth="1" min="6" max="6" width="16.0"/>
    <col customWidth="1" min="7" max="26" width="8.71"/>
  </cols>
  <sheetData>
    <row r="1" ht="30.0" customHeight="1">
      <c r="A1" s="40" t="s">
        <v>30</v>
      </c>
      <c r="B1" s="40" t="s">
        <v>3</v>
      </c>
      <c r="C1" s="40" t="s">
        <v>39</v>
      </c>
      <c r="D1" s="40" t="s">
        <v>40</v>
      </c>
      <c r="E1" s="40" t="s">
        <v>41</v>
      </c>
      <c r="F1" s="40" t="s">
        <v>42</v>
      </c>
    </row>
    <row r="2">
      <c r="A2" s="41" t="s">
        <v>4</v>
      </c>
      <c r="B2" s="41" t="s">
        <v>10</v>
      </c>
      <c r="C2" s="41" t="s">
        <v>43</v>
      </c>
      <c r="D2" s="42">
        <v>46200.90347222222</v>
      </c>
      <c r="E2" s="42">
        <v>46202.57013888889</v>
      </c>
      <c r="F2" s="43" t="s">
        <v>44</v>
      </c>
    </row>
    <row r="3">
      <c r="A3" s="41" t="s">
        <v>4</v>
      </c>
      <c r="B3" s="41" t="s">
        <v>11</v>
      </c>
      <c r="C3" s="41" t="s">
        <v>45</v>
      </c>
      <c r="D3" s="42">
        <v>46201.61944444444</v>
      </c>
      <c r="E3" s="42">
        <v>46203.66111111111</v>
      </c>
      <c r="F3" s="43" t="s">
        <v>44</v>
      </c>
    </row>
    <row r="4">
      <c r="A4" s="41" t="s">
        <v>4</v>
      </c>
      <c r="B4" s="41" t="s">
        <v>12</v>
      </c>
      <c r="C4" s="41" t="s">
        <v>46</v>
      </c>
      <c r="D4" s="42">
        <v>46201.96041666667</v>
      </c>
      <c r="E4" s="42">
        <v>46204.37708333333</v>
      </c>
      <c r="F4" s="43" t="s">
        <v>44</v>
      </c>
    </row>
    <row r="5">
      <c r="A5" s="41" t="s">
        <v>4</v>
      </c>
      <c r="B5" s="41" t="s">
        <v>13</v>
      </c>
      <c r="C5" s="41" t="s">
        <v>47</v>
      </c>
      <c r="D5" s="42">
        <v>46202.67638888889</v>
      </c>
      <c r="E5" s="42">
        <v>46205.46805555555</v>
      </c>
      <c r="F5" s="43" t="s">
        <v>48</v>
      </c>
    </row>
    <row r="6">
      <c r="A6" s="41" t="s">
        <v>4</v>
      </c>
      <c r="B6" s="41" t="s">
        <v>10</v>
      </c>
      <c r="C6" s="41" t="s">
        <v>49</v>
      </c>
      <c r="D6" s="42">
        <v>46203.6625</v>
      </c>
      <c r="E6" s="42">
        <v>46205.62083333333</v>
      </c>
      <c r="F6" s="43" t="s">
        <v>44</v>
      </c>
    </row>
    <row r="7">
      <c r="A7" s="41" t="s">
        <v>4</v>
      </c>
      <c r="B7" s="41" t="s">
        <v>11</v>
      </c>
      <c r="C7" s="41" t="s">
        <v>50</v>
      </c>
      <c r="D7" s="42">
        <v>46204.33680555555</v>
      </c>
      <c r="E7" s="42">
        <v>46206.67013888889</v>
      </c>
      <c r="F7" s="43" t="s">
        <v>44</v>
      </c>
    </row>
    <row r="8">
      <c r="A8" s="41" t="s">
        <v>4</v>
      </c>
      <c r="B8" s="41" t="s">
        <v>13</v>
      </c>
      <c r="C8" s="41" t="s">
        <v>51</v>
      </c>
      <c r="D8" s="42">
        <v>46207.68541666667</v>
      </c>
      <c r="E8" s="42">
        <v>46208.51875</v>
      </c>
      <c r="F8" s="43" t="s">
        <v>52</v>
      </c>
    </row>
    <row r="9">
      <c r="A9" s="41" t="s">
        <v>4</v>
      </c>
      <c r="B9" s="41" t="s">
        <v>13</v>
      </c>
      <c r="C9" s="41" t="s">
        <v>53</v>
      </c>
      <c r="D9" s="42">
        <v>46208.64444444444</v>
      </c>
      <c r="E9" s="42">
        <v>46209.51944444444</v>
      </c>
      <c r="F9" s="43" t="s">
        <v>52</v>
      </c>
    </row>
    <row r="10">
      <c r="A10" s="41" t="s">
        <v>4</v>
      </c>
      <c r="B10" s="41" t="s">
        <v>10</v>
      </c>
      <c r="C10" s="41" t="s">
        <v>54</v>
      </c>
      <c r="D10" s="42">
        <v>46207.33888888889</v>
      </c>
      <c r="E10" s="42">
        <v>46209.63055555556</v>
      </c>
      <c r="F10" s="43" t="s">
        <v>44</v>
      </c>
    </row>
    <row r="11">
      <c r="A11" s="41" t="s">
        <v>4</v>
      </c>
      <c r="B11" s="41" t="s">
        <v>11</v>
      </c>
      <c r="C11" s="41" t="s">
        <v>55</v>
      </c>
      <c r="D11" s="42">
        <v>46207.72152777778</v>
      </c>
      <c r="E11" s="42">
        <v>46210.38819444444</v>
      </c>
      <c r="F11" s="43" t="s">
        <v>44</v>
      </c>
    </row>
    <row r="12">
      <c r="A12" s="41" t="s">
        <v>4</v>
      </c>
      <c r="B12" s="41" t="s">
        <v>10</v>
      </c>
      <c r="C12" s="41" t="s">
        <v>56</v>
      </c>
      <c r="D12" s="42">
        <v>46208.8625</v>
      </c>
      <c r="E12" s="42">
        <v>46210.57083333333</v>
      </c>
      <c r="F12" s="43" t="s">
        <v>44</v>
      </c>
    </row>
    <row r="13">
      <c r="A13" s="41" t="s">
        <v>4</v>
      </c>
      <c r="B13" s="41" t="s">
        <v>12</v>
      </c>
      <c r="C13" s="41" t="s">
        <v>57</v>
      </c>
      <c r="D13" s="42">
        <v>46210.6875</v>
      </c>
      <c r="E13" s="42">
        <v>46211.47916666666</v>
      </c>
      <c r="F13" s="43" t="s">
        <v>44</v>
      </c>
    </row>
    <row r="14">
      <c r="A14" s="41" t="s">
        <v>4</v>
      </c>
      <c r="B14" s="41" t="s">
        <v>11</v>
      </c>
      <c r="C14" s="41" t="s">
        <v>58</v>
      </c>
      <c r="D14" s="42">
        <v>46209.57847222222</v>
      </c>
      <c r="E14" s="42">
        <v>46211.66180555556</v>
      </c>
      <c r="F14" s="43" t="s">
        <v>44</v>
      </c>
    </row>
    <row r="15">
      <c r="A15" s="41" t="s">
        <v>4</v>
      </c>
      <c r="B15" s="41" t="s">
        <v>12</v>
      </c>
      <c r="C15" s="41" t="s">
        <v>59</v>
      </c>
      <c r="D15" s="42">
        <v>46209.91944444444</v>
      </c>
      <c r="E15" s="42">
        <v>46212.37777777778</v>
      </c>
      <c r="F15" s="43" t="s">
        <v>44</v>
      </c>
    </row>
    <row r="16">
      <c r="A16" s="41" t="s">
        <v>4</v>
      </c>
      <c r="B16" s="41" t="s">
        <v>13</v>
      </c>
      <c r="C16" s="41" t="s">
        <v>60</v>
      </c>
      <c r="D16" s="42">
        <v>46211.40347222222</v>
      </c>
      <c r="E16" s="42">
        <v>46212.57013888889</v>
      </c>
      <c r="F16" s="43" t="s">
        <v>52</v>
      </c>
    </row>
    <row r="17">
      <c r="A17" s="41" t="s">
        <v>4</v>
      </c>
      <c r="B17" s="41" t="s">
        <v>13</v>
      </c>
      <c r="C17" s="41" t="s">
        <v>61</v>
      </c>
      <c r="D17" s="42">
        <v>46210.63541666666</v>
      </c>
      <c r="E17" s="42">
        <v>46213.46875</v>
      </c>
      <c r="F17" s="43" t="s">
        <v>48</v>
      </c>
    </row>
    <row r="18">
      <c r="A18" s="41" t="s">
        <v>4</v>
      </c>
      <c r="B18" s="41" t="s">
        <v>10</v>
      </c>
      <c r="C18" s="41" t="s">
        <v>62</v>
      </c>
      <c r="D18" s="42">
        <v>46211.62152777778</v>
      </c>
      <c r="E18" s="42">
        <v>46213.62152777778</v>
      </c>
      <c r="F18" s="43" t="s">
        <v>44</v>
      </c>
    </row>
    <row r="19">
      <c r="A19" s="41" t="s">
        <v>4</v>
      </c>
      <c r="B19" s="41" t="s">
        <v>11</v>
      </c>
      <c r="C19" s="41" t="s">
        <v>63</v>
      </c>
      <c r="D19" s="42">
        <v>46212.29583333333</v>
      </c>
      <c r="E19" s="42">
        <v>46214.67083333333</v>
      </c>
      <c r="F19" s="43" t="s">
        <v>44</v>
      </c>
    </row>
    <row r="20">
      <c r="A20" s="41" t="s">
        <v>4</v>
      </c>
      <c r="B20" s="41" t="s">
        <v>12</v>
      </c>
      <c r="C20" s="41" t="s">
        <v>64</v>
      </c>
      <c r="D20" s="42">
        <v>46212.67847222222</v>
      </c>
      <c r="E20" s="42">
        <v>46215.42847222222</v>
      </c>
      <c r="F20" s="43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16.0"/>
    <col customWidth="1" min="4" max="5" width="21.0"/>
    <col customWidth="1" min="6" max="6" width="16.0"/>
    <col customWidth="1" min="7" max="26" width="8.71"/>
  </cols>
  <sheetData>
    <row r="1" ht="30.0" customHeight="1">
      <c r="A1" s="40" t="s">
        <v>30</v>
      </c>
      <c r="B1" s="40" t="s">
        <v>3</v>
      </c>
      <c r="C1" s="40" t="s">
        <v>39</v>
      </c>
      <c r="D1" s="40" t="s">
        <v>40</v>
      </c>
      <c r="E1" s="40" t="s">
        <v>41</v>
      </c>
      <c r="F1" s="40" t="s">
        <v>42</v>
      </c>
    </row>
    <row r="2">
      <c r="A2" s="41" t="s">
        <v>5</v>
      </c>
      <c r="B2" s="41" t="s">
        <v>12</v>
      </c>
      <c r="C2" s="41" t="s">
        <v>65</v>
      </c>
      <c r="D2" s="42">
        <v>46199.55902777778</v>
      </c>
      <c r="E2" s="42">
        <v>46202.47569444445</v>
      </c>
      <c r="F2" s="43" t="s">
        <v>44</v>
      </c>
    </row>
    <row r="3">
      <c r="A3" s="41" t="s">
        <v>5</v>
      </c>
      <c r="B3" s="41" t="s">
        <v>13</v>
      </c>
      <c r="C3" s="41" t="s">
        <v>66</v>
      </c>
      <c r="D3" s="42">
        <v>46202.525</v>
      </c>
      <c r="E3" s="42">
        <v>46203.56666666667</v>
      </c>
      <c r="F3" s="43" t="s">
        <v>52</v>
      </c>
    </row>
    <row r="4">
      <c r="A4" s="41" t="s">
        <v>5</v>
      </c>
      <c r="B4" s="41" t="s">
        <v>10</v>
      </c>
      <c r="C4" s="41" t="s">
        <v>67</v>
      </c>
      <c r="D4" s="42">
        <v>46202.74305555555</v>
      </c>
      <c r="E4" s="42">
        <v>46204.61805555555</v>
      </c>
      <c r="F4" s="43" t="s">
        <v>44</v>
      </c>
    </row>
    <row r="5">
      <c r="A5" s="41" t="s">
        <v>5</v>
      </c>
      <c r="B5" s="41" t="s">
        <v>11</v>
      </c>
      <c r="C5" s="41" t="s">
        <v>68</v>
      </c>
      <c r="D5" s="42">
        <v>46203.41736111111</v>
      </c>
      <c r="E5" s="42">
        <v>46205.66736111111</v>
      </c>
      <c r="F5" s="43" t="s">
        <v>44</v>
      </c>
    </row>
    <row r="6">
      <c r="A6" s="41" t="s">
        <v>5</v>
      </c>
      <c r="B6" s="41" t="s">
        <v>12</v>
      </c>
      <c r="C6" s="41" t="s">
        <v>69</v>
      </c>
      <c r="D6" s="42">
        <v>46203.8</v>
      </c>
      <c r="E6" s="42">
        <v>46206.425</v>
      </c>
      <c r="F6" s="43" t="s">
        <v>44</v>
      </c>
    </row>
    <row r="7">
      <c r="A7" s="41" t="s">
        <v>5</v>
      </c>
      <c r="B7" s="41" t="s">
        <v>13</v>
      </c>
      <c r="C7" s="41" t="s">
        <v>70</v>
      </c>
      <c r="D7" s="42">
        <v>46205.28402777778</v>
      </c>
      <c r="E7" s="42">
        <v>46206.61736111111</v>
      </c>
      <c r="F7" s="43" t="s">
        <v>52</v>
      </c>
    </row>
    <row r="8">
      <c r="A8" s="41" t="s">
        <v>5</v>
      </c>
      <c r="B8" s="41" t="s">
        <v>13</v>
      </c>
      <c r="C8" s="41" t="s">
        <v>71</v>
      </c>
      <c r="D8" s="42">
        <v>46206.76597222222</v>
      </c>
      <c r="E8" s="42">
        <v>46207.51597222222</v>
      </c>
      <c r="F8" s="43" t="s">
        <v>48</v>
      </c>
    </row>
    <row r="9">
      <c r="A9" s="41" t="s">
        <v>5</v>
      </c>
      <c r="B9" s="41" t="s">
        <v>10</v>
      </c>
      <c r="C9" s="41" t="s">
        <v>72</v>
      </c>
      <c r="D9" s="42">
        <v>46205.46041666667</v>
      </c>
      <c r="E9" s="42">
        <v>46207.62708333333</v>
      </c>
      <c r="F9" s="43" t="s">
        <v>44</v>
      </c>
    </row>
    <row r="10">
      <c r="A10" s="41" t="s">
        <v>5</v>
      </c>
      <c r="B10" s="41" t="s">
        <v>11</v>
      </c>
      <c r="C10" s="41" t="s">
        <v>73</v>
      </c>
      <c r="D10" s="42">
        <v>46206.80208333334</v>
      </c>
      <c r="E10" s="42">
        <v>46209.38541666666</v>
      </c>
      <c r="F10" s="43" t="s">
        <v>44</v>
      </c>
    </row>
    <row r="11">
      <c r="A11" s="41" t="s">
        <v>5</v>
      </c>
      <c r="B11" s="41" t="s">
        <v>12</v>
      </c>
      <c r="C11" s="41" t="s">
        <v>74</v>
      </c>
      <c r="D11" s="42">
        <v>46207.51805555556</v>
      </c>
      <c r="E11" s="42">
        <v>46210.47638888889</v>
      </c>
      <c r="F11" s="43" t="s">
        <v>44</v>
      </c>
    </row>
    <row r="12">
      <c r="A12" s="41" t="s">
        <v>5</v>
      </c>
      <c r="B12" s="41" t="s">
        <v>13</v>
      </c>
      <c r="C12" s="41" t="s">
        <v>75</v>
      </c>
      <c r="D12" s="42">
        <v>46208.96041666667</v>
      </c>
      <c r="E12" s="42">
        <v>46210.62708333333</v>
      </c>
      <c r="F12" s="43" t="s">
        <v>52</v>
      </c>
    </row>
    <row r="13">
      <c r="A13" s="41" t="s">
        <v>5</v>
      </c>
      <c r="B13" s="41" t="s">
        <v>13</v>
      </c>
      <c r="C13" s="41" t="s">
        <v>76</v>
      </c>
      <c r="D13" s="42">
        <v>46210.48402777778</v>
      </c>
      <c r="E13" s="42">
        <v>46211.56736111111</v>
      </c>
      <c r="F13" s="43" t="s">
        <v>52</v>
      </c>
    </row>
    <row r="14">
      <c r="A14" s="41" t="s">
        <v>5</v>
      </c>
      <c r="B14" s="41" t="s">
        <v>10</v>
      </c>
      <c r="C14" s="41" t="s">
        <v>77</v>
      </c>
      <c r="D14" s="42">
        <v>46209.17847222222</v>
      </c>
      <c r="E14" s="42">
        <v>46211.67847222222</v>
      </c>
      <c r="F14" s="43" t="s">
        <v>44</v>
      </c>
    </row>
    <row r="15">
      <c r="A15" s="41" t="s">
        <v>5</v>
      </c>
      <c r="B15" s="41" t="s">
        <v>10</v>
      </c>
      <c r="C15" s="41" t="s">
        <v>78</v>
      </c>
      <c r="D15" s="42">
        <v>46210.70208333333</v>
      </c>
      <c r="E15" s="42">
        <v>46212.61875</v>
      </c>
      <c r="F15" s="43" t="s">
        <v>44</v>
      </c>
    </row>
    <row r="16">
      <c r="A16" s="41" t="s">
        <v>5</v>
      </c>
      <c r="B16" s="41" t="s">
        <v>11</v>
      </c>
      <c r="C16" s="41" t="s">
        <v>79</v>
      </c>
      <c r="D16" s="42">
        <v>46211.37638888889</v>
      </c>
      <c r="E16" s="42">
        <v>46213.66805555556</v>
      </c>
      <c r="F16" s="43" t="s">
        <v>44</v>
      </c>
    </row>
    <row r="17">
      <c r="A17" s="41" t="s">
        <v>5</v>
      </c>
      <c r="B17" s="41" t="s">
        <v>12</v>
      </c>
      <c r="C17" s="41" t="s">
        <v>80</v>
      </c>
      <c r="D17" s="42">
        <v>46211.75902777778</v>
      </c>
      <c r="E17" s="42">
        <v>46214.42569444444</v>
      </c>
      <c r="F17" s="43" t="s">
        <v>44</v>
      </c>
    </row>
    <row r="18">
      <c r="A18" s="41" t="s">
        <v>5</v>
      </c>
      <c r="B18" s="41" t="s">
        <v>13</v>
      </c>
      <c r="C18" s="41" t="s">
        <v>81</v>
      </c>
      <c r="D18" s="42">
        <v>46213.24305555555</v>
      </c>
      <c r="E18" s="42">
        <v>46214.61805555555</v>
      </c>
      <c r="F18" s="43" t="s">
        <v>52</v>
      </c>
    </row>
    <row r="19">
      <c r="A19" s="41" t="s">
        <v>5</v>
      </c>
      <c r="B19" s="41" t="s">
        <v>13</v>
      </c>
      <c r="C19" s="41" t="s">
        <v>82</v>
      </c>
      <c r="D19" s="42">
        <v>46214.725</v>
      </c>
      <c r="E19" s="42">
        <v>46215.51666666667</v>
      </c>
      <c r="F19" s="43" t="s">
        <v>48</v>
      </c>
    </row>
    <row r="20">
      <c r="A20" s="41" t="s">
        <v>5</v>
      </c>
      <c r="B20" s="41" t="s">
        <v>10</v>
      </c>
      <c r="C20" s="41" t="s">
        <v>83</v>
      </c>
      <c r="D20" s="42">
        <v>46213.41944444444</v>
      </c>
      <c r="E20" s="42">
        <v>46215.62777777778</v>
      </c>
      <c r="F20" s="43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16.0"/>
    <col customWidth="1" min="4" max="5" width="21.0"/>
    <col customWidth="1" min="6" max="6" width="16.0"/>
    <col customWidth="1" min="7" max="26" width="8.71"/>
  </cols>
  <sheetData>
    <row r="1" ht="30.0" customHeight="1">
      <c r="A1" s="40" t="s">
        <v>30</v>
      </c>
      <c r="B1" s="40" t="s">
        <v>3</v>
      </c>
      <c r="C1" s="40" t="s">
        <v>39</v>
      </c>
      <c r="D1" s="40" t="s">
        <v>40</v>
      </c>
      <c r="E1" s="40" t="s">
        <v>41</v>
      </c>
      <c r="F1" s="40" t="s">
        <v>42</v>
      </c>
    </row>
    <row r="2">
      <c r="A2" s="41" t="s">
        <v>6</v>
      </c>
      <c r="B2" s="41" t="s">
        <v>13</v>
      </c>
      <c r="C2" s="41" t="s">
        <v>84</v>
      </c>
      <c r="D2" s="42">
        <v>46201.60555555556</v>
      </c>
      <c r="E2" s="42">
        <v>46202.56388888889</v>
      </c>
      <c r="F2" s="43" t="s">
        <v>48</v>
      </c>
    </row>
    <row r="3">
      <c r="A3" s="41" t="s">
        <v>6</v>
      </c>
      <c r="B3" s="41" t="s">
        <v>10</v>
      </c>
      <c r="C3" s="41" t="s">
        <v>85</v>
      </c>
      <c r="D3" s="42">
        <v>46200.3</v>
      </c>
      <c r="E3" s="42">
        <v>46202.675</v>
      </c>
      <c r="F3" s="43" t="s">
        <v>44</v>
      </c>
    </row>
    <row r="4">
      <c r="A4" s="41" t="s">
        <v>6</v>
      </c>
      <c r="B4" s="41" t="s">
        <v>11</v>
      </c>
      <c r="C4" s="41" t="s">
        <v>86</v>
      </c>
      <c r="D4" s="42">
        <v>46200.68263888889</v>
      </c>
      <c r="E4" s="42">
        <v>46203.43263888889</v>
      </c>
      <c r="F4" s="43" t="s">
        <v>44</v>
      </c>
    </row>
    <row r="5">
      <c r="A5" s="41" t="s">
        <v>6</v>
      </c>
      <c r="B5" s="41" t="s">
        <v>12</v>
      </c>
      <c r="C5" s="41" t="s">
        <v>87</v>
      </c>
      <c r="D5" s="42">
        <v>46203.64861111111</v>
      </c>
      <c r="E5" s="42">
        <v>46204.52361111111</v>
      </c>
      <c r="F5" s="43" t="s">
        <v>44</v>
      </c>
    </row>
    <row r="6">
      <c r="A6" s="41" t="s">
        <v>6</v>
      </c>
      <c r="B6" s="41" t="s">
        <v>13</v>
      </c>
      <c r="C6" s="41" t="s">
        <v>88</v>
      </c>
      <c r="D6" s="42">
        <v>46204.36458333334</v>
      </c>
      <c r="E6" s="42">
        <v>46205.61458333334</v>
      </c>
      <c r="F6" s="43" t="s">
        <v>48</v>
      </c>
    </row>
    <row r="7">
      <c r="A7" s="41" t="s">
        <v>6</v>
      </c>
      <c r="B7" s="41" t="s">
        <v>10</v>
      </c>
      <c r="C7" s="41" t="s">
        <v>89</v>
      </c>
      <c r="D7" s="42">
        <v>46204.58263888889</v>
      </c>
      <c r="E7" s="42">
        <v>46206.66597222222</v>
      </c>
      <c r="F7" s="43" t="s">
        <v>44</v>
      </c>
    </row>
    <row r="8">
      <c r="A8" s="41" t="s">
        <v>6</v>
      </c>
      <c r="B8" s="41" t="s">
        <v>11</v>
      </c>
      <c r="C8" s="41" t="s">
        <v>90</v>
      </c>
      <c r="D8" s="42">
        <v>46204.92361111111</v>
      </c>
      <c r="E8" s="42">
        <v>46207.38194444445</v>
      </c>
      <c r="F8" s="43" t="s">
        <v>44</v>
      </c>
    </row>
    <row r="9">
      <c r="A9" s="41" t="s">
        <v>6</v>
      </c>
      <c r="B9" s="41" t="s">
        <v>12</v>
      </c>
      <c r="C9" s="41" t="s">
        <v>91</v>
      </c>
      <c r="D9" s="42">
        <v>46205.63958333333</v>
      </c>
      <c r="E9" s="42">
        <v>46208.47291666667</v>
      </c>
      <c r="F9" s="43" t="s">
        <v>44</v>
      </c>
    </row>
    <row r="10">
      <c r="A10" s="41" t="s">
        <v>6</v>
      </c>
      <c r="B10" s="41" t="s">
        <v>13</v>
      </c>
      <c r="C10" s="41" t="s">
        <v>92</v>
      </c>
      <c r="D10" s="42">
        <v>46207.12361111111</v>
      </c>
      <c r="E10" s="42">
        <v>46208.66527777778</v>
      </c>
      <c r="F10" s="43" t="s">
        <v>52</v>
      </c>
    </row>
    <row r="11">
      <c r="A11" s="41" t="s">
        <v>6</v>
      </c>
      <c r="B11" s="41" t="s">
        <v>12</v>
      </c>
      <c r="C11" s="41" t="s">
        <v>93</v>
      </c>
      <c r="D11" s="42">
        <v>46206.59861111111</v>
      </c>
      <c r="E11" s="42">
        <v>46209.47361111111</v>
      </c>
      <c r="F11" s="43" t="s">
        <v>44</v>
      </c>
    </row>
    <row r="12">
      <c r="A12" s="41" t="s">
        <v>6</v>
      </c>
      <c r="B12" s="41" t="s">
        <v>13</v>
      </c>
      <c r="C12" s="41" t="s">
        <v>94</v>
      </c>
      <c r="D12" s="42">
        <v>46208.08263888889</v>
      </c>
      <c r="E12" s="42">
        <v>46209.66597222222</v>
      </c>
      <c r="F12" s="43" t="s">
        <v>52</v>
      </c>
    </row>
    <row r="13">
      <c r="A13" s="41" t="s">
        <v>6</v>
      </c>
      <c r="B13" s="41" t="s">
        <v>13</v>
      </c>
      <c r="C13" s="41" t="s">
        <v>95</v>
      </c>
      <c r="D13" s="42">
        <v>46209.56458333333</v>
      </c>
      <c r="E13" s="42">
        <v>46210.56458333333</v>
      </c>
      <c r="F13" s="43" t="s">
        <v>48</v>
      </c>
    </row>
    <row r="14">
      <c r="A14" s="41" t="s">
        <v>6</v>
      </c>
      <c r="B14" s="41" t="s">
        <v>10</v>
      </c>
      <c r="C14" s="41" t="s">
        <v>96</v>
      </c>
      <c r="D14" s="42">
        <v>46208.25902777778</v>
      </c>
      <c r="E14" s="42">
        <v>46210.67569444444</v>
      </c>
      <c r="F14" s="43" t="s">
        <v>44</v>
      </c>
    </row>
    <row r="15">
      <c r="A15" s="41" t="s">
        <v>6</v>
      </c>
      <c r="B15" s="41" t="s">
        <v>11</v>
      </c>
      <c r="C15" s="41" t="s">
        <v>97</v>
      </c>
      <c r="D15" s="42">
        <v>46208.64166666667</v>
      </c>
      <c r="E15" s="42">
        <v>46211.43333333333</v>
      </c>
      <c r="F15" s="43" t="s">
        <v>44</v>
      </c>
    </row>
    <row r="16">
      <c r="A16" s="41" t="s">
        <v>6</v>
      </c>
      <c r="B16" s="41" t="s">
        <v>12</v>
      </c>
      <c r="C16" s="41" t="s">
        <v>98</v>
      </c>
      <c r="D16" s="42">
        <v>46211.60763888889</v>
      </c>
      <c r="E16" s="42">
        <v>46212.52430555555</v>
      </c>
      <c r="F16" s="43" t="s">
        <v>44</v>
      </c>
    </row>
    <row r="17">
      <c r="A17" s="41" t="s">
        <v>6</v>
      </c>
      <c r="B17" s="41" t="s">
        <v>13</v>
      </c>
      <c r="C17" s="41" t="s">
        <v>99</v>
      </c>
      <c r="D17" s="42">
        <v>46212.32361111111</v>
      </c>
      <c r="E17" s="42">
        <v>46213.61527777778</v>
      </c>
      <c r="F17" s="43" t="s">
        <v>52</v>
      </c>
    </row>
    <row r="18">
      <c r="A18" s="41" t="s">
        <v>6</v>
      </c>
      <c r="B18" s="41" t="s">
        <v>11</v>
      </c>
      <c r="C18" s="41" t="s">
        <v>100</v>
      </c>
      <c r="D18" s="42">
        <v>46213.65069444444</v>
      </c>
      <c r="E18" s="42">
        <v>46214.48402777778</v>
      </c>
      <c r="F18" s="43" t="s">
        <v>44</v>
      </c>
    </row>
    <row r="19">
      <c r="A19" s="41" t="s">
        <v>6</v>
      </c>
      <c r="B19" s="41" t="s">
        <v>10</v>
      </c>
      <c r="C19" s="41" t="s">
        <v>101</v>
      </c>
      <c r="D19" s="42">
        <v>46212.5</v>
      </c>
      <c r="E19" s="42">
        <v>46214.625</v>
      </c>
      <c r="F19" s="43" t="s">
        <v>44</v>
      </c>
    </row>
    <row r="20">
      <c r="A20" s="41" t="s">
        <v>6</v>
      </c>
      <c r="B20" s="41" t="s">
        <v>11</v>
      </c>
      <c r="C20" s="41" t="s">
        <v>102</v>
      </c>
      <c r="D20" s="42">
        <v>46212.88263888889</v>
      </c>
      <c r="E20" s="42">
        <v>46215.38263888889</v>
      </c>
      <c r="F20" s="43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16.0"/>
    <col customWidth="1" min="4" max="5" width="21.0"/>
    <col customWidth="1" min="6" max="6" width="16.0"/>
    <col customWidth="1" min="7" max="26" width="8.71"/>
  </cols>
  <sheetData>
    <row r="1" ht="30.0" customHeight="1">
      <c r="A1" s="40" t="s">
        <v>30</v>
      </c>
      <c r="B1" s="40" t="s">
        <v>3</v>
      </c>
      <c r="C1" s="40" t="s">
        <v>39</v>
      </c>
      <c r="D1" s="40" t="s">
        <v>40</v>
      </c>
      <c r="E1" s="40" t="s">
        <v>41</v>
      </c>
      <c r="F1" s="40" t="s">
        <v>42</v>
      </c>
    </row>
    <row r="2">
      <c r="A2" s="41" t="s">
        <v>7</v>
      </c>
      <c r="B2" s="41" t="s">
        <v>11</v>
      </c>
      <c r="C2" s="41" t="s">
        <v>103</v>
      </c>
      <c r="D2" s="42">
        <v>46199.76319444444</v>
      </c>
      <c r="E2" s="42">
        <v>46202.42986111111</v>
      </c>
      <c r="F2" s="43" t="s">
        <v>44</v>
      </c>
    </row>
    <row r="3">
      <c r="A3" s="41" t="s">
        <v>7</v>
      </c>
      <c r="B3" s="41" t="s">
        <v>12</v>
      </c>
      <c r="C3" s="41" t="s">
        <v>104</v>
      </c>
      <c r="D3" s="42">
        <v>46202.72916666666</v>
      </c>
      <c r="E3" s="42">
        <v>46203.52083333334</v>
      </c>
      <c r="F3" s="43" t="s">
        <v>44</v>
      </c>
    </row>
    <row r="4">
      <c r="A4" s="41" t="s">
        <v>7</v>
      </c>
      <c r="B4" s="41" t="s">
        <v>13</v>
      </c>
      <c r="C4" s="41" t="s">
        <v>105</v>
      </c>
      <c r="D4" s="42">
        <v>46201.92152777778</v>
      </c>
      <c r="E4" s="42">
        <v>46203.67152777778</v>
      </c>
      <c r="F4" s="43" t="s">
        <v>52</v>
      </c>
    </row>
    <row r="5">
      <c r="A5" s="41" t="s">
        <v>7</v>
      </c>
      <c r="B5" s="41" t="s">
        <v>10</v>
      </c>
      <c r="C5" s="41" t="s">
        <v>106</v>
      </c>
      <c r="D5" s="42">
        <v>46201.80625</v>
      </c>
      <c r="E5" s="42">
        <v>46204.38958333333</v>
      </c>
      <c r="F5" s="43" t="s">
        <v>44</v>
      </c>
    </row>
    <row r="6">
      <c r="A6" s="41" t="s">
        <v>7</v>
      </c>
      <c r="B6" s="41" t="s">
        <v>13</v>
      </c>
      <c r="C6" s="41" t="s">
        <v>107</v>
      </c>
      <c r="D6" s="42">
        <v>46203.44513888889</v>
      </c>
      <c r="E6" s="42">
        <v>46204.61180555556</v>
      </c>
      <c r="F6" s="43" t="s">
        <v>48</v>
      </c>
    </row>
    <row r="7">
      <c r="A7" s="41" t="s">
        <v>7</v>
      </c>
      <c r="B7" s="41" t="s">
        <v>11</v>
      </c>
      <c r="C7" s="41" t="s">
        <v>108</v>
      </c>
      <c r="D7" s="42">
        <v>46202.52222222222</v>
      </c>
      <c r="E7" s="42">
        <v>46205.48055555556</v>
      </c>
      <c r="F7" s="43" t="s">
        <v>44</v>
      </c>
    </row>
    <row r="8">
      <c r="A8" s="41" t="s">
        <v>7</v>
      </c>
      <c r="B8" s="41" t="s">
        <v>12</v>
      </c>
      <c r="C8" s="41" t="s">
        <v>109</v>
      </c>
      <c r="D8" s="42">
        <v>46205.48819444444</v>
      </c>
      <c r="E8" s="42">
        <v>46206.57152777778</v>
      </c>
      <c r="F8" s="43" t="s">
        <v>44</v>
      </c>
    </row>
    <row r="9">
      <c r="A9" s="41" t="s">
        <v>7</v>
      </c>
      <c r="B9" s="41" t="s">
        <v>10</v>
      </c>
      <c r="C9" s="41" t="s">
        <v>110</v>
      </c>
      <c r="D9" s="42">
        <v>46204.56527777778</v>
      </c>
      <c r="E9" s="42">
        <v>46207.44027777778</v>
      </c>
      <c r="F9" s="43" t="s">
        <v>44</v>
      </c>
    </row>
    <row r="10">
      <c r="A10" s="41" t="s">
        <v>7</v>
      </c>
      <c r="B10" s="41" t="s">
        <v>13</v>
      </c>
      <c r="C10" s="41" t="s">
        <v>111</v>
      </c>
      <c r="D10" s="42">
        <v>46206.20416666667</v>
      </c>
      <c r="E10" s="42">
        <v>46207.6625</v>
      </c>
      <c r="F10" s="43" t="s">
        <v>52</v>
      </c>
    </row>
    <row r="11">
      <c r="A11" s="41" t="s">
        <v>7</v>
      </c>
      <c r="B11" s="41" t="s">
        <v>10</v>
      </c>
      <c r="C11" s="41" t="s">
        <v>112</v>
      </c>
      <c r="D11" s="42">
        <v>46206.38055555556</v>
      </c>
      <c r="E11" s="42">
        <v>46208.67222222222</v>
      </c>
      <c r="F11" s="43" t="s">
        <v>44</v>
      </c>
    </row>
    <row r="12">
      <c r="A12" s="41" t="s">
        <v>7</v>
      </c>
      <c r="B12" s="41" t="s">
        <v>11</v>
      </c>
      <c r="C12" s="41" t="s">
        <v>113</v>
      </c>
      <c r="D12" s="42">
        <v>46208.49027777778</v>
      </c>
      <c r="E12" s="42">
        <v>46209.53194444445</v>
      </c>
      <c r="F12" s="43" t="s">
        <v>44</v>
      </c>
    </row>
    <row r="13">
      <c r="A13" s="41" t="s">
        <v>7</v>
      </c>
      <c r="B13" s="41" t="s">
        <v>10</v>
      </c>
      <c r="C13" s="41" t="s">
        <v>114</v>
      </c>
      <c r="D13" s="42">
        <v>46207.33958333333</v>
      </c>
      <c r="E13" s="42">
        <v>46209.67291666667</v>
      </c>
      <c r="F13" s="43" t="s">
        <v>44</v>
      </c>
    </row>
    <row r="14">
      <c r="A14" s="41" t="s">
        <v>7</v>
      </c>
      <c r="B14" s="41" t="s">
        <v>11</v>
      </c>
      <c r="C14" s="41" t="s">
        <v>115</v>
      </c>
      <c r="D14" s="42">
        <v>46207.72222222222</v>
      </c>
      <c r="E14" s="42">
        <v>46210.43055555555</v>
      </c>
      <c r="F14" s="43" t="s">
        <v>44</v>
      </c>
    </row>
    <row r="15">
      <c r="A15" s="41" t="s">
        <v>7</v>
      </c>
      <c r="B15" s="41" t="s">
        <v>10</v>
      </c>
      <c r="C15" s="41" t="s">
        <v>116</v>
      </c>
      <c r="D15" s="42">
        <v>46210.53333333333</v>
      </c>
      <c r="E15" s="42">
        <v>46211.49166666667</v>
      </c>
      <c r="F15" s="43" t="s">
        <v>44</v>
      </c>
    </row>
    <row r="16">
      <c r="A16" s="41" t="s">
        <v>7</v>
      </c>
      <c r="B16" s="41" t="s">
        <v>12</v>
      </c>
      <c r="C16" s="41" t="s">
        <v>117</v>
      </c>
      <c r="D16" s="42">
        <v>46210.68819444445</v>
      </c>
      <c r="E16" s="42">
        <v>46211.52152777778</v>
      </c>
      <c r="F16" s="43" t="s">
        <v>44</v>
      </c>
    </row>
    <row r="17">
      <c r="A17" s="41" t="s">
        <v>7</v>
      </c>
      <c r="B17" s="41" t="s">
        <v>10</v>
      </c>
      <c r="C17" s="41" t="s">
        <v>118</v>
      </c>
      <c r="D17" s="42">
        <v>46209.76527777778</v>
      </c>
      <c r="E17" s="42">
        <v>46212.39027777778</v>
      </c>
      <c r="F17" s="43" t="s">
        <v>44</v>
      </c>
    </row>
    <row r="18">
      <c r="A18" s="41" t="s">
        <v>7</v>
      </c>
      <c r="B18" s="41" t="s">
        <v>13</v>
      </c>
      <c r="C18" s="41" t="s">
        <v>119</v>
      </c>
      <c r="D18" s="42">
        <v>46211.40416666667</v>
      </c>
      <c r="E18" s="42">
        <v>46212.6125</v>
      </c>
      <c r="F18" s="43" t="s">
        <v>48</v>
      </c>
    </row>
    <row r="19">
      <c r="A19" s="41" t="s">
        <v>7</v>
      </c>
      <c r="B19" s="41" t="s">
        <v>11</v>
      </c>
      <c r="C19" s="41" t="s">
        <v>120</v>
      </c>
      <c r="D19" s="42">
        <v>46212.73125</v>
      </c>
      <c r="E19" s="42">
        <v>46213.48125</v>
      </c>
      <c r="F19" s="43" t="s">
        <v>44</v>
      </c>
    </row>
    <row r="20">
      <c r="A20" s="41" t="s">
        <v>7</v>
      </c>
      <c r="B20" s="41" t="s">
        <v>12</v>
      </c>
      <c r="C20" s="41" t="s">
        <v>121</v>
      </c>
      <c r="D20" s="42">
        <v>46213.44722222222</v>
      </c>
      <c r="E20" s="42">
        <v>46214.57222222222</v>
      </c>
      <c r="F20" s="43" t="s">
        <v>44</v>
      </c>
    </row>
    <row r="21" ht="15.75" customHeight="1">
      <c r="A21" s="41" t="s">
        <v>7</v>
      </c>
      <c r="B21" s="41" t="s">
        <v>10</v>
      </c>
      <c r="C21" s="41" t="s">
        <v>122</v>
      </c>
      <c r="D21" s="42">
        <v>46212.52430555555</v>
      </c>
      <c r="E21" s="42">
        <v>46215.44097222222</v>
      </c>
      <c r="F21" s="43" t="s">
        <v>44</v>
      </c>
    </row>
    <row r="22" ht="15.75" customHeight="1">
      <c r="A22" s="41" t="s">
        <v>7</v>
      </c>
      <c r="B22" s="41" t="s">
        <v>13</v>
      </c>
      <c r="C22" s="41" t="s">
        <v>123</v>
      </c>
      <c r="D22" s="42">
        <v>46214.16319444445</v>
      </c>
      <c r="E22" s="42">
        <v>46215.66319444445</v>
      </c>
      <c r="F22" s="43" t="s">
        <v>52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16.0"/>
    <col customWidth="1" min="4" max="5" width="21.0"/>
    <col customWidth="1" min="6" max="6" width="16.0"/>
    <col customWidth="1" min="7" max="26" width="8.71"/>
  </cols>
  <sheetData>
    <row r="1" ht="30.0" customHeight="1">
      <c r="A1" s="40" t="s">
        <v>30</v>
      </c>
      <c r="B1" s="40" t="s">
        <v>3</v>
      </c>
      <c r="C1" s="40" t="s">
        <v>39</v>
      </c>
      <c r="D1" s="40" t="s">
        <v>40</v>
      </c>
      <c r="E1" s="40" t="s">
        <v>41</v>
      </c>
      <c r="F1" s="40" t="s">
        <v>42</v>
      </c>
    </row>
    <row r="2">
      <c r="A2" s="41" t="s">
        <v>8</v>
      </c>
      <c r="B2" s="41" t="s">
        <v>13</v>
      </c>
      <c r="C2" s="41" t="s">
        <v>124</v>
      </c>
      <c r="D2" s="42">
        <v>46201.00208333333</v>
      </c>
      <c r="E2" s="42">
        <v>46202.66875</v>
      </c>
      <c r="F2" s="43" t="s">
        <v>48</v>
      </c>
    </row>
    <row r="3">
      <c r="A3" s="41" t="s">
        <v>8</v>
      </c>
      <c r="B3" s="41" t="s">
        <v>10</v>
      </c>
      <c r="C3" s="41" t="s">
        <v>125</v>
      </c>
      <c r="D3" s="42">
        <v>46200.88680555556</v>
      </c>
      <c r="E3" s="42">
        <v>46203.38680555556</v>
      </c>
      <c r="F3" s="43" t="s">
        <v>44</v>
      </c>
    </row>
    <row r="4">
      <c r="A4" s="41" t="s">
        <v>8</v>
      </c>
      <c r="B4" s="41" t="s">
        <v>11</v>
      </c>
      <c r="C4" s="41" t="s">
        <v>126</v>
      </c>
      <c r="D4" s="42">
        <v>46202.37083333333</v>
      </c>
      <c r="E4" s="42">
        <v>46203.57916666667</v>
      </c>
      <c r="F4" s="43" t="s">
        <v>44</v>
      </c>
    </row>
    <row r="5">
      <c r="A5" s="41" t="s">
        <v>8</v>
      </c>
      <c r="B5" s="41" t="s">
        <v>11</v>
      </c>
      <c r="C5" s="41" t="s">
        <v>127</v>
      </c>
      <c r="D5" s="42">
        <v>46201.60277777778</v>
      </c>
      <c r="E5" s="42">
        <v>46204.47777777778</v>
      </c>
      <c r="F5" s="43" t="s">
        <v>44</v>
      </c>
    </row>
    <row r="6">
      <c r="A6" s="41" t="s">
        <v>8</v>
      </c>
      <c r="B6" s="41" t="s">
        <v>13</v>
      </c>
      <c r="C6" s="41" t="s">
        <v>128</v>
      </c>
      <c r="D6" s="42">
        <v>46203.42777777778</v>
      </c>
      <c r="E6" s="42">
        <v>46205.38611111111</v>
      </c>
      <c r="F6" s="43" t="s">
        <v>52</v>
      </c>
    </row>
    <row r="7">
      <c r="A7" s="41" t="s">
        <v>8</v>
      </c>
      <c r="B7" s="41" t="s">
        <v>12</v>
      </c>
      <c r="C7" s="41" t="s">
        <v>129</v>
      </c>
      <c r="D7" s="42">
        <v>46204.56875</v>
      </c>
      <c r="E7" s="42">
        <v>46205.56875</v>
      </c>
      <c r="F7" s="43" t="s">
        <v>44</v>
      </c>
    </row>
    <row r="8">
      <c r="A8" s="41" t="s">
        <v>8</v>
      </c>
      <c r="B8" s="41" t="s">
        <v>10</v>
      </c>
      <c r="C8" s="41" t="s">
        <v>130</v>
      </c>
      <c r="D8" s="42">
        <v>46203.64583333334</v>
      </c>
      <c r="E8" s="42">
        <v>46206.4375</v>
      </c>
      <c r="F8" s="43" t="s">
        <v>44</v>
      </c>
    </row>
    <row r="9">
      <c r="A9" s="41" t="s">
        <v>8</v>
      </c>
      <c r="B9" s="41" t="s">
        <v>13</v>
      </c>
      <c r="C9" s="41" t="s">
        <v>131</v>
      </c>
      <c r="D9" s="42">
        <v>46205.28472222222</v>
      </c>
      <c r="E9" s="42">
        <v>46206.65972222222</v>
      </c>
      <c r="F9" s="43" t="s">
        <v>48</v>
      </c>
    </row>
    <row r="10">
      <c r="A10" s="41" t="s">
        <v>8</v>
      </c>
      <c r="B10" s="41" t="s">
        <v>11</v>
      </c>
      <c r="C10" s="41" t="s">
        <v>132</v>
      </c>
      <c r="D10" s="42">
        <v>46206.61180555556</v>
      </c>
      <c r="E10" s="42">
        <v>46207.52847222222</v>
      </c>
      <c r="F10" s="43" t="s">
        <v>44</v>
      </c>
    </row>
    <row r="11">
      <c r="A11" s="41" t="s">
        <v>8</v>
      </c>
      <c r="B11" s="41" t="s">
        <v>12</v>
      </c>
      <c r="C11" s="41" t="s">
        <v>133</v>
      </c>
      <c r="D11" s="42">
        <v>46207.32777777778</v>
      </c>
      <c r="E11" s="42">
        <v>46208.61944444444</v>
      </c>
      <c r="F11" s="43" t="s">
        <v>44</v>
      </c>
    </row>
    <row r="12">
      <c r="A12" s="41" t="s">
        <v>8</v>
      </c>
      <c r="B12" s="41" t="s">
        <v>13</v>
      </c>
      <c r="C12" s="41" t="s">
        <v>134</v>
      </c>
      <c r="D12" s="42">
        <v>46207.14583333334</v>
      </c>
      <c r="E12" s="42">
        <v>46209.4375</v>
      </c>
      <c r="F12" s="43" t="s">
        <v>52</v>
      </c>
    </row>
    <row r="13">
      <c r="A13" s="41" t="s">
        <v>8</v>
      </c>
      <c r="B13" s="41" t="s">
        <v>12</v>
      </c>
      <c r="C13" s="41" t="s">
        <v>135</v>
      </c>
      <c r="D13" s="42">
        <v>46208.28680555556</v>
      </c>
      <c r="E13" s="42">
        <v>46209.62013888889</v>
      </c>
      <c r="F13" s="43" t="s">
        <v>44</v>
      </c>
    </row>
    <row r="14">
      <c r="A14" s="41" t="s">
        <v>8</v>
      </c>
      <c r="B14" s="41" t="s">
        <v>10</v>
      </c>
      <c r="C14" s="41" t="s">
        <v>136</v>
      </c>
      <c r="D14" s="42">
        <v>46209.61388888889</v>
      </c>
      <c r="E14" s="42">
        <v>46210.48888888889</v>
      </c>
      <c r="F14" s="43" t="s">
        <v>44</v>
      </c>
    </row>
    <row r="15">
      <c r="A15" s="41" t="s">
        <v>8</v>
      </c>
      <c r="B15" s="41" t="s">
        <v>13</v>
      </c>
      <c r="C15" s="41" t="s">
        <v>137</v>
      </c>
      <c r="D15" s="42">
        <v>46208.96111111111</v>
      </c>
      <c r="E15" s="42">
        <v>46210.66944444444</v>
      </c>
      <c r="F15" s="43" t="s">
        <v>52</v>
      </c>
    </row>
    <row r="16">
      <c r="A16" s="41" t="s">
        <v>8</v>
      </c>
      <c r="B16" s="41" t="s">
        <v>10</v>
      </c>
      <c r="C16" s="41" t="s">
        <v>138</v>
      </c>
      <c r="D16" s="42">
        <v>46208.84583333333</v>
      </c>
      <c r="E16" s="42">
        <v>46211.3875</v>
      </c>
      <c r="F16" s="43" t="s">
        <v>44</v>
      </c>
    </row>
    <row r="17">
      <c r="A17" s="41" t="s">
        <v>8</v>
      </c>
      <c r="B17" s="41" t="s">
        <v>11</v>
      </c>
      <c r="C17" s="41" t="s">
        <v>139</v>
      </c>
      <c r="D17" s="42">
        <v>46209.56180555555</v>
      </c>
      <c r="E17" s="42">
        <v>46212.47847222222</v>
      </c>
      <c r="F17" s="43" t="s">
        <v>44</v>
      </c>
    </row>
    <row r="18">
      <c r="A18" s="41" t="s">
        <v>8</v>
      </c>
      <c r="B18" s="41" t="s">
        <v>12</v>
      </c>
      <c r="C18" s="41" t="s">
        <v>140</v>
      </c>
      <c r="D18" s="42">
        <v>46211.00416666667</v>
      </c>
      <c r="E18" s="42">
        <v>46212.62916666667</v>
      </c>
      <c r="F18" s="43" t="s">
        <v>44</v>
      </c>
    </row>
    <row r="19">
      <c r="A19" s="41" t="s">
        <v>8</v>
      </c>
      <c r="B19" s="41" t="s">
        <v>13</v>
      </c>
      <c r="C19" s="41" t="s">
        <v>141</v>
      </c>
      <c r="D19" s="42">
        <v>46211.38680555556</v>
      </c>
      <c r="E19" s="42">
        <v>46213.38680555556</v>
      </c>
      <c r="F19" s="43" t="s">
        <v>52</v>
      </c>
    </row>
    <row r="20">
      <c r="A20" s="41" t="s">
        <v>8</v>
      </c>
      <c r="B20" s="41" t="s">
        <v>12</v>
      </c>
      <c r="C20" s="41" t="s">
        <v>142</v>
      </c>
      <c r="D20" s="42">
        <v>46212.52777777778</v>
      </c>
      <c r="E20" s="42">
        <v>46213.56944444445</v>
      </c>
      <c r="F20" s="43" t="s">
        <v>44</v>
      </c>
    </row>
    <row r="21" ht="15.75" customHeight="1">
      <c r="A21" s="41" t="s">
        <v>8</v>
      </c>
      <c r="B21" s="41" t="s">
        <v>10</v>
      </c>
      <c r="C21" s="41" t="s">
        <v>143</v>
      </c>
      <c r="D21" s="42">
        <v>46211.60486111111</v>
      </c>
      <c r="E21" s="42">
        <v>46214.43819444445</v>
      </c>
      <c r="F21" s="43" t="s">
        <v>44</v>
      </c>
    </row>
    <row r="22" ht="15.75" customHeight="1">
      <c r="A22" s="41" t="s">
        <v>8</v>
      </c>
      <c r="B22" s="41" t="s">
        <v>13</v>
      </c>
      <c r="C22" s="41" t="s">
        <v>144</v>
      </c>
      <c r="D22" s="42">
        <v>46213.24375</v>
      </c>
      <c r="E22" s="42">
        <v>46214.66041666667</v>
      </c>
      <c r="F22" s="43" t="s">
        <v>48</v>
      </c>
    </row>
    <row r="23" ht="15.75" customHeight="1">
      <c r="A23" s="41" t="s">
        <v>8</v>
      </c>
      <c r="B23" s="41" t="s">
        <v>11</v>
      </c>
      <c r="C23" s="41" t="s">
        <v>145</v>
      </c>
      <c r="D23" s="42">
        <v>46214.57083333333</v>
      </c>
      <c r="E23" s="42">
        <v>46215.52916666667</v>
      </c>
      <c r="F23" s="43" t="s">
        <v>44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2026-07-12T23:59:07Z</dcterms:created>
  <dc:creator>openpyxl</dc:creator>
</cp:coreProperties>
</file>