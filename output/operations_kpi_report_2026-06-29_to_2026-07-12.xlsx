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All Data" sheetId="2" state="visible" r:id="rId2"/>
    <sheet name="Team Alpha" sheetId="3" state="visible" r:id="rId3"/>
    <sheet name="Team Beta" sheetId="4" state="visible" r:id="rId4"/>
    <sheet name="Team Gamma" sheetId="5" state="visible" r:id="rId5"/>
    <sheet name="Team Delta" sheetId="6" state="visible" r:id="rId6"/>
    <sheet name="Team Epsilon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 hh:mm"/>
  </numFmts>
  <fonts count="13">
    <font>
      <name val="Calibri"/>
      <color theme="1"/>
      <sz val="11"/>
      <scheme val="minor"/>
    </font>
    <font>
      <name val="Carlito"/>
      <b val="1"/>
      <color rgb="FFFFFFFF"/>
      <sz val="18"/>
    </font>
    <font>
      <name val="Carlito"/>
      <color theme="1"/>
      <sz val="11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libri"/>
      <color theme="1"/>
      <scheme val="minor"/>
    </font>
    <font>
      <name val="Carlito"/>
      <color rgb="FF9C0006"/>
      <sz val="11"/>
    </font>
    <font>
      <name val="Carlito"/>
      <color rgb="FF006100"/>
      <sz val="11"/>
    </font>
    <font>
      <name val="Carlito"/>
      <color rgb="FF666666"/>
      <sz val="11"/>
    </font>
    <font>
      <name val="Carlito"/>
      <b val="1"/>
      <color rgb="FF9C0006"/>
      <sz val="11"/>
    </font>
    <font>
      <name val="Calibri"/>
      <b val="1"/>
      <color rgb="FFFFFFFF"/>
      <scheme val="minor"/>
    </font>
    <font>
      <name val="Calibri"/>
      <color theme="1"/>
      <sz val="11"/>
    </font>
    <font>
      <b val="1"/>
      <color rgb="00FFFFFF"/>
    </font>
  </fonts>
  <fills count="13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EAF2F8"/>
        <bgColor rgb="FFEAF2F8"/>
      </patternFill>
    </fill>
    <fill>
      <patternFill patternType="solid">
        <fgColor rgb="FF156082"/>
        <bgColor rgb="FF156082"/>
      </patternFill>
    </fill>
    <fill>
      <patternFill patternType="solid">
        <fgColor rgb="FFC1E4F5"/>
        <bgColor rgb="FFC1E4F5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DE9E7"/>
        <bgColor rgb="FFFDE9E7"/>
      </patternFill>
    </fill>
    <fill>
      <patternFill patternType="solid">
        <fgColor rgb="FFE2F0D9"/>
        <bgColor rgb="FFE2F0D9"/>
      </patternFill>
    </fill>
    <fill>
      <patternFill patternType="solid">
        <fgColor rgb="FFE7E6E6"/>
        <bgColor rgb="FFE7E6E6"/>
      </patternFill>
    </fill>
    <fill>
      <patternFill patternType="solid">
        <fgColor rgb="FF1F4E78"/>
        <bgColor rgb="FF1F4E78"/>
      </patternFill>
    </fill>
    <fill>
      <patternFill patternType="solid">
        <fgColor rgb="001F4E78"/>
      </patternFill>
    </fill>
  </fills>
  <borders count="7">
    <border/>
    <border>
      <left/>
    </border>
    <border>
      <left/>
      <top/>
    </border>
    <border>
      <left/>
      <bottom/>
    </border>
    <border>
      <top/>
    </border>
    <border>
      <right/>
      <top/>
    </border>
    <border>
      <left/>
      <right/>
      <top/>
      <bottom/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vertical="bottom"/>
    </xf>
    <xf numFmtId="0" fontId="3" fillId="3" borderId="1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4" fillId="4" borderId="2" applyAlignment="1" pivotButton="0" quotePrefix="0" xfId="0">
      <alignment horizontal="center" wrapText="1"/>
    </xf>
    <xf numFmtId="0" fontId="4" fillId="5" borderId="1" applyAlignment="1" pivotButton="0" quotePrefix="0" xfId="0">
      <alignment vertical="bottom"/>
    </xf>
    <xf numFmtId="0" fontId="4" fillId="6" borderId="1" applyAlignment="1" pivotButton="0" quotePrefix="0" xfId="0">
      <alignment vertical="bottom"/>
    </xf>
    <xf numFmtId="0" fontId="4" fillId="5" borderId="3" applyAlignment="1" pivotButton="0" quotePrefix="0" xfId="0">
      <alignment vertical="bottom"/>
    </xf>
    <xf numFmtId="0" fontId="4" fillId="4" borderId="0" applyAlignment="1" pivotButton="0" quotePrefix="0" xfId="0">
      <alignment horizontal="center" wrapText="1"/>
    </xf>
    <xf numFmtId="0" fontId="3" fillId="5" borderId="1" applyAlignment="1" pivotButton="0" quotePrefix="0" xfId="0">
      <alignment vertical="bottom"/>
    </xf>
    <xf numFmtId="0" fontId="3" fillId="5" borderId="0" applyAlignment="1" pivotButton="0" quotePrefix="0" xfId="0">
      <alignment horizontal="right" vertical="bottom"/>
    </xf>
    <xf numFmtId="0" fontId="3" fillId="6" borderId="1" applyAlignment="1" pivotButton="0" quotePrefix="0" xfId="0">
      <alignment vertical="bottom"/>
    </xf>
    <xf numFmtId="0" fontId="5" fillId="6" borderId="0" pivotButton="0" quotePrefix="0" xfId="0"/>
    <xf numFmtId="0" fontId="4" fillId="7" borderId="2" applyAlignment="1" pivotButton="0" quotePrefix="0" xfId="0">
      <alignment horizontal="center" wrapText="1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3" borderId="2" applyAlignment="1" pivotButton="0" quotePrefix="0" xfId="0">
      <alignment vertical="bottom"/>
    </xf>
    <xf numFmtId="0" fontId="3" fillId="6" borderId="0" applyAlignment="1" pivotButton="0" quotePrefix="0" xfId="0">
      <alignment horizontal="right" vertical="bottom"/>
    </xf>
    <xf numFmtId="0" fontId="1" fillId="2" borderId="0" applyAlignment="1" pivotButton="0" quotePrefix="0" xfId="0">
      <alignment horizontal="center"/>
    </xf>
    <xf numFmtId="0" fontId="4" fillId="4" borderId="4" applyAlignment="1" pivotButton="0" quotePrefix="0" xfId="0">
      <alignment horizontal="center" wrapText="1"/>
    </xf>
    <xf numFmtId="0" fontId="4" fillId="4" borderId="5" applyAlignment="1" pivotButton="0" quotePrefix="0" xfId="0">
      <alignment horizontal="center" wrapText="1"/>
    </xf>
    <xf numFmtId="0" fontId="2" fillId="5" borderId="0" applyAlignment="1" pivotButton="0" quotePrefix="0" xfId="0">
      <alignment horizontal="right" vertical="bottom"/>
    </xf>
    <xf numFmtId="165" fontId="2" fillId="5" borderId="0" applyAlignment="1" pivotButton="0" quotePrefix="0" xfId="0">
      <alignment horizontal="right" vertical="bottom"/>
    </xf>
    <xf numFmtId="0" fontId="2" fillId="6" borderId="0" applyAlignment="1" pivotButton="0" quotePrefix="0" xfId="0">
      <alignment horizontal="right" vertical="bottom"/>
    </xf>
    <xf numFmtId="165" fontId="2" fillId="6" borderId="0" applyAlignment="1" pivotButton="0" quotePrefix="0" xfId="0">
      <alignment horizontal="right" vertical="bottom"/>
    </xf>
    <xf numFmtId="0" fontId="6" fillId="8" borderId="0" applyAlignment="1" pivotButton="0" quotePrefix="0" xfId="0">
      <alignment horizontal="right" vertical="bottom"/>
    </xf>
    <xf numFmtId="0" fontId="7" fillId="9" borderId="0" applyAlignment="1" pivotButton="0" quotePrefix="0" xfId="0">
      <alignment horizontal="right" vertical="bottom"/>
    </xf>
    <xf numFmtId="165" fontId="7" fillId="9" borderId="0" applyAlignment="1" pivotButton="0" quotePrefix="0" xfId="0">
      <alignment horizontal="right" vertical="bottom"/>
    </xf>
    <xf numFmtId="0" fontId="2" fillId="6" borderId="0" applyAlignment="1" pivotButton="0" quotePrefix="0" xfId="0">
      <alignment vertical="bottom"/>
    </xf>
    <xf numFmtId="0" fontId="3" fillId="5" borderId="3" applyAlignment="1" pivotButton="0" quotePrefix="0" xfId="0">
      <alignment vertical="bottom"/>
    </xf>
    <xf numFmtId="165" fontId="2" fillId="5" borderId="0" applyAlignment="1" pivotButton="0" quotePrefix="0" xfId="0">
      <alignment vertical="bottom"/>
    </xf>
    <xf numFmtId="0" fontId="3" fillId="6" borderId="3" applyAlignment="1" pivotButton="0" quotePrefix="0" xfId="0">
      <alignment vertical="bottom"/>
    </xf>
    <xf numFmtId="0" fontId="2" fillId="5" borderId="0" applyAlignment="1" pivotButton="0" quotePrefix="0" xfId="0">
      <alignment vertical="bottom"/>
    </xf>
    <xf numFmtId="166" fontId="2" fillId="5" borderId="0" applyAlignment="1" pivotButton="0" quotePrefix="0" xfId="0">
      <alignment horizontal="right" vertical="bottom"/>
    </xf>
    <xf numFmtId="0" fontId="8" fillId="10" borderId="0" applyAlignment="1" pivotButton="0" quotePrefix="0" xfId="0">
      <alignment vertical="bottom"/>
    </xf>
    <xf numFmtId="166" fontId="2" fillId="6" borderId="0" applyAlignment="1" pivotButton="0" quotePrefix="0" xfId="0">
      <alignment horizontal="right" vertical="bottom"/>
    </xf>
    <xf numFmtId="0" fontId="9" fillId="8" borderId="0" applyAlignment="1" pivotButton="0" quotePrefix="0" xfId="0">
      <alignment vertical="bottom"/>
    </xf>
    <xf numFmtId="0" fontId="7" fillId="9" borderId="0" applyAlignment="1" pivotButton="0" quotePrefix="0" xfId="0">
      <alignment vertical="bottom"/>
    </xf>
    <xf numFmtId="0" fontId="10" fillId="11" borderId="6" applyAlignment="1" pivotButton="0" quotePrefix="0" xfId="0">
      <alignment horizontal="center" vertical="center" wrapText="1"/>
    </xf>
    <xf numFmtId="0" fontId="5" fillId="0" borderId="0" pivotButton="0" quotePrefix="0" xfId="0"/>
    <xf numFmtId="166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pivotButton="0" quotePrefix="0" xfId="0"/>
    <xf numFmtId="0" fontId="12" fillId="12" borderId="6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</dxfs>
  <tableStyles count="11" defaultTableStyle="TableStyleMedium9" defaultPivotStyle="PivotStyleLight16">
    <tableStyle name="Summary-style" pivot="0" count="3">
      <tableStyleElement type="headerRow" dxfId="1"/>
      <tableStyleElement type="firstRowStripe" dxfId="2"/>
      <tableStyleElement type="secondRowStripe" dxfId="3"/>
    </tableStyle>
    <tableStyle name="Summary-style 2" pivot="0" count="3">
      <tableStyleElement type="headerRow" dxfId="1"/>
      <tableStyleElement type="firstRowStripe" dxfId="2"/>
      <tableStyleElement type="secondRowStripe" dxfId="3"/>
    </tableStyle>
    <tableStyle name="Summary-style 3" pivot="0" count="3">
      <tableStyleElement type="headerRow" dxfId="1"/>
      <tableStyleElement type="firstRowStripe" dxfId="2"/>
      <tableStyleElement type="secondRowStripe" dxfId="3"/>
    </tableStyle>
    <tableStyle name="Summary-style 4" pivot="0" count="3">
      <tableStyleElement type="headerRow" dxfId="1"/>
      <tableStyleElement type="firstRowStripe" dxfId="2"/>
      <tableStyleElement type="secondRowStripe" dxfId="3"/>
    </tableStyle>
    <tableStyle name="Summary-style 5" pivot="0" count="3">
      <tableStyleElement type="headerRow" dxfId="1"/>
      <tableStyleElement type="firstRowStripe" dxfId="2"/>
      <tableStyleElement type="secondRowStripe" dxfId="3"/>
    </tableStyle>
    <tableStyle name="All Data-style" pivot="0" count="3">
      <tableStyleElement type="headerRow" dxfId="1"/>
      <tableStyleElement type="firstRowStripe" dxfId="2"/>
      <tableStyleElement type="secondRowStripe" dxfId="3"/>
    </tableStyle>
    <tableStyle name="Team Alpha-style" pivot="0" count="3">
      <tableStyleElement type="headerRow" dxfId="1"/>
      <tableStyleElement type="firstRowStripe" dxfId="5"/>
      <tableStyleElement type="secondRowStripe" dxfId="3"/>
    </tableStyle>
    <tableStyle name="Team Beta-style" pivot="0" count="3">
      <tableStyleElement type="headerRow" dxfId="1"/>
      <tableStyleElement type="firstRowStripe" dxfId="5"/>
      <tableStyleElement type="secondRowStripe" dxfId="3"/>
    </tableStyle>
    <tableStyle name="Team Gamma-style" pivot="0" count="3">
      <tableStyleElement type="headerRow" dxfId="1"/>
      <tableStyleElement type="firstRowStripe" dxfId="5"/>
      <tableStyleElement type="secondRowStripe" dxfId="3"/>
    </tableStyle>
    <tableStyle name="Team Delta-style" pivot="0" count="3">
      <tableStyleElement type="headerRow" dxfId="1"/>
      <tableStyleElement type="firstRowStripe" dxfId="5"/>
      <tableStyleElement type="secondRowStripe" dxfId="3"/>
    </tableStyle>
    <tableStyle name="Team Epsilon-style" pivot="0" count="3">
      <tableStyleElement type="headerRow" dxfId="1"/>
      <tableStyleElement type="firstRowStripe" dxfId="5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6:G14" headerRowCount="1">
  <tableColumns count="7">
    <tableColumn id="1" name="Task Type"/>
    <tableColumn id="2" name="Team Alpha"/>
    <tableColumn id="3" name="Team Beta"/>
    <tableColumn id="4" name="Team Gamma"/>
    <tableColumn id="5" name="Team Delta"/>
    <tableColumn id="6" name="Team Epsilon"/>
    <tableColumn id="7" name="Overall"/>
  </tableColumns>
  <tableStyleInfo name="Summary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1:G29" headerRowCount="1">
  <tableColumns count="7">
    <tableColumn id="1" name="Task Type"/>
    <tableColumn id="2" name="Team Alpha"/>
    <tableColumn id="3" name="Team Beta"/>
    <tableColumn id="4" name="Team Gamma"/>
    <tableColumn id="5" name="Team Delta"/>
    <tableColumn id="6" name="Team Epsilon"/>
    <tableColumn id="7" name="Overall"/>
  </tableColumns>
  <tableStyleInfo name="Summary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33:E42" headerRowCount="1">
  <tableColumns count="5">
    <tableColumn id="1" name="Metric"/>
    <tableColumn id="2" name="Older Week"/>
    <tableColumn id="3" name="Recent Week"/>
    <tableColumn id="4" name="Change"/>
    <tableColumn id="5" name="Change %"/>
  </tableColumns>
  <tableStyleInfo name="Summary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45:H50" headerRowCount="1">
  <tableColumns count="8">
    <tableColumn id="1" name="Team"/>
    <tableColumn id="2" name="Older Tasks"/>
    <tableColumn id="3" name="Recent Tasks"/>
    <tableColumn id="4" name="WoW Change"/>
    <tableColumn id="5" name="WoW Change %"/>
    <tableColumn id="6" name="Older SLA %"/>
    <tableColumn id="7" name="Recent SLA %"/>
    <tableColumn id="8" name="SLA Change"/>
  </tableColumns>
  <tableStyleInfo name="Summary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53:F57" headerRowCount="1">
  <tableColumns count="6">
    <tableColumn id="1" name="Task Type"/>
    <tableColumn id="2" name="Older Tasks"/>
    <tableColumn id="3" name="Recent Tasks"/>
    <tableColumn id="4" name="WoW Change"/>
    <tableColumn id="5" name="WoW Change %"/>
    <tableColumn id="6" name="Recent Volume Share"/>
  </tableColumns>
  <tableStyleInfo name="Summary-style 5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F101" headerRowCount="1">
  <tableColumns count="6">
    <tableColumn id="1" name="Team"/>
    <tableColumn id="2" name="Task Type"/>
    <tableColumn id="3" name="Task ID"/>
    <tableColumn id="4" name="Created Date"/>
    <tableColumn id="5" name="Completed Date"/>
    <tableColumn id="6" name="SLA Breached"/>
  </tableColumns>
  <tableStyleInfo name="All Data-style" showFirstColumn="1" showLastColumn="1" showRowStripes="1" showColumnStripes="0"/>
</table>
</file>

<file path=xl/tables/table7.xml><?xml version="1.0" encoding="utf-8"?>
<table xmlns="http://schemas.openxmlformats.org/spreadsheetml/2006/main" id="7" name="TeamAlphaTasks" displayName="TeamAlphaTasks" ref="A1:F20" headerRowCount="1">
  <autoFilter ref="A1:F20"/>
  <tableColumns count="6">
    <tableColumn id="1" name="Team"/>
    <tableColumn id="2" name="Task Type"/>
    <tableColumn id="3" name="Task ID"/>
    <tableColumn id="4" name="Created Date"/>
    <tableColumn id="5" name="Completed Date"/>
    <tableColumn id="6" name="SLA Breach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eamBetaTasks" displayName="TeamBetaTasks" ref="A1:F20" headerRowCount="1">
  <autoFilter ref="A1:F20"/>
  <tableColumns count="6">
    <tableColumn id="1" name="Team"/>
    <tableColumn id="2" name="Task Type"/>
    <tableColumn id="3" name="Task ID"/>
    <tableColumn id="4" name="Created Date"/>
    <tableColumn id="5" name="Completed Date"/>
    <tableColumn id="6" name="SLA Breach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amGammaTasks" displayName="TeamGammaTasks" ref="A1:F20" headerRowCount="1">
  <autoFilter ref="A1:F20"/>
  <tableColumns count="6">
    <tableColumn id="1" name="Team"/>
    <tableColumn id="2" name="Task Type"/>
    <tableColumn id="3" name="Task ID"/>
    <tableColumn id="4" name="Created Date"/>
    <tableColumn id="5" name="Completed Date"/>
    <tableColumn id="6" name="SLA Breache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eamDeltaTasks" displayName="TeamDeltaTasks" ref="A1:F22" headerRowCount="1">
  <autoFilter ref="A1:F22"/>
  <tableColumns count="6">
    <tableColumn id="1" name="Team"/>
    <tableColumn id="2" name="Task Type"/>
    <tableColumn id="3" name="Task ID"/>
    <tableColumn id="4" name="Created Date"/>
    <tableColumn id="5" name="Completed Date"/>
    <tableColumn id="6" name="SLA Breach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eamEpsilonTasks" displayName="TeamEpsilonTasks" ref="A1:F23" headerRowCount="1">
  <autoFilter ref="A1:F23"/>
  <tableColumns count="6">
    <tableColumn id="1" name="Team"/>
    <tableColumn id="2" name="Task Type"/>
    <tableColumn id="3" name="Task ID"/>
    <tableColumn id="4" name="Created Date"/>
    <tableColumn id="5" name="Completed Date"/>
    <tableColumn id="6" name="SLA Breach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990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44" min="1" max="1"/>
    <col width="27.86" customWidth="1" style="44" min="2" max="2"/>
    <col width="18" customWidth="1" style="44" min="3" max="3"/>
    <col width="15" customWidth="1" style="44" min="4" max="4"/>
    <col width="19.29" customWidth="1" style="44" min="5" max="5"/>
    <col width="18.86" customWidth="1" style="44" min="6" max="6"/>
    <col width="18.43" customWidth="1" style="44" min="7" max="7"/>
    <col width="24.43" customWidth="1" style="44" min="8" max="8"/>
    <col width="8.710000000000001" customWidth="1" style="44" min="9" max="36"/>
  </cols>
  <sheetData>
    <row r="1">
      <c r="A1" s="20" t="inlineStr">
        <is>
          <t>Process Quality KPI Report</t>
        </is>
      </c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</row>
    <row r="2"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  <c r="AA2" s="17" t="n"/>
      <c r="AB2" s="17" t="n"/>
      <c r="AC2" s="17" t="n"/>
      <c r="AD2" s="17" t="n"/>
      <c r="AE2" s="17" t="n"/>
      <c r="AF2" s="17" t="n"/>
      <c r="AG2" s="17" t="n"/>
      <c r="AH2" s="17" t="n"/>
      <c r="AI2" s="17" t="n"/>
      <c r="AJ2" s="17" t="n"/>
    </row>
    <row r="3">
      <c r="A3" s="3" t="inlineStr">
        <is>
          <t>Recent Reporting Week Start</t>
        </is>
      </c>
      <c r="B3" s="4" t="n">
        <v>46209</v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  <c r="AF3" s="17" t="n"/>
      <c r="AG3" s="17" t="n"/>
      <c r="AH3" s="17" t="n"/>
      <c r="AI3" s="17" t="n"/>
      <c r="AJ3" s="17" t="n"/>
    </row>
    <row r="4">
      <c r="A4" s="3" t="inlineStr">
        <is>
          <t>Recent Reporting Week End</t>
        </is>
      </c>
      <c r="B4" s="4" t="n">
        <v>46215</v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</row>
    <row r="6">
      <c r="A6" s="6" t="inlineStr">
        <is>
          <t>Task Type</t>
        </is>
      </c>
      <c r="B6" s="7" t="inlineStr">
        <is>
          <t>Team Alpha</t>
        </is>
      </c>
      <c r="C6" s="8" t="inlineStr">
        <is>
          <t>Team Beta</t>
        </is>
      </c>
      <c r="D6" s="7" t="inlineStr">
        <is>
          <t>Team Gamma</t>
        </is>
      </c>
      <c r="E6" s="8" t="inlineStr">
        <is>
          <t>Team Delta</t>
        </is>
      </c>
      <c r="F6" s="9" t="inlineStr">
        <is>
          <t>Team Epsilon</t>
        </is>
      </c>
      <c r="G6" s="10" t="inlineStr">
        <is>
          <t>Overall</t>
        </is>
      </c>
      <c r="H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</row>
    <row r="7">
      <c r="A7" s="11" t="inlineStr">
        <is>
          <t>Quality Review</t>
        </is>
      </c>
      <c r="B7" s="12">
        <f>COUNTIFS('All Data'!$B$2:$B$101,$A54,'All Data'!$E$2:$E$101,"&gt;="&amp;$B$3,'All Data'!$E$2:$E$101,"&lt;"&amp;$B$4+1, 'All Data'!$A$2:$A$101,$A$46)</f>
        <v/>
      </c>
      <c r="C7" s="12">
        <f>COUNTIFS('All Data'!$B$2:$B$101,$A54,'All Data'!$E$2:$E$101,"&gt;="&amp;$B$3,'All Data'!$E$2:$E$101,"&lt;"&amp;$B$4+1, 'All Data'!$A$2:$A$101,$A$47)</f>
        <v/>
      </c>
      <c r="D7" s="12">
        <f>COUNTIFS('All Data'!$B$2:$B$101,$A54,'All Data'!$E$2:$E$101,"&gt;="&amp;$B$3,'All Data'!$E$2:$E$101,"&lt;"&amp;$B$4+1, 'All Data'!$A$2:$A$101,$A$48)</f>
        <v/>
      </c>
      <c r="E7" s="12">
        <f>COUNTIFS('All Data'!$B$2:$B$101,$A54,'All Data'!$E$2:$E$101,"&gt;="&amp;$B$3,'All Data'!$E$2:$E$101,"&lt;"&amp;$B$4+1, 'All Data'!$A$2:$A$101,$A$49)</f>
        <v/>
      </c>
      <c r="F7" s="12">
        <f>COUNTIFS('All Data'!$B$2:$B$101,$A54,'All Data'!$E$2:$E$101,"&gt;="&amp;$B$3,'All Data'!$E$2:$E$101,"&lt;"&amp;$B$4+1, 'All Data'!$A$2:$A$101,$A$50)</f>
        <v/>
      </c>
      <c r="G7" s="12">
        <f>sum(B7:F7)</f>
        <v/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</row>
    <row r="8">
      <c r="A8" s="13" t="inlineStr">
        <is>
          <t>Complex Case Review</t>
        </is>
      </c>
      <c r="B8" s="12">
        <f>COUNTIFS('All Data'!$B$2:$B$101,$A55,'All Data'!$E$2:$E$101,"&gt;="&amp;$B$3,'All Data'!$E$2:$E$101,"&lt;"&amp;$B$4+1, 'All Data'!$A$2:$A$101,$A$46)</f>
        <v/>
      </c>
      <c r="C8" s="12">
        <f>COUNTIFS('All Data'!$B$2:$B$101,$A55,'All Data'!$E$2:$E$101,"&gt;="&amp;$B$3,'All Data'!$E$2:$E$101,"&lt;"&amp;$B$4+1, 'All Data'!$A$2:$A$101,$A$47)</f>
        <v/>
      </c>
      <c r="D8" s="12">
        <f>COUNTIFS('All Data'!$B$2:$B$101,$A55,'All Data'!$E$2:$E$101,"&gt;="&amp;$B$3,'All Data'!$E$2:$E$101,"&lt;"&amp;$B$4+1, 'All Data'!$A$2:$A$101,$A$48)</f>
        <v/>
      </c>
      <c r="E8" s="12">
        <f>COUNTIFS('All Data'!$B$2:$B$101,$A55,'All Data'!$E$2:$E$101,"&gt;="&amp;$B$3,'All Data'!$E$2:$E$101,"&lt;"&amp;$B$4+1, 'All Data'!$A$2:$A$101,$A$49)</f>
        <v/>
      </c>
      <c r="F8" s="12">
        <f>COUNTIFS('All Data'!$B$2:$B$101,$A55,'All Data'!$E$2:$E$101,"&gt;="&amp;$B$3,'All Data'!$E$2:$E$101,"&lt;"&amp;$B$4+1, 'All Data'!$A$2:$A$101,$A$50)</f>
        <v/>
      </c>
      <c r="G8" s="12">
        <f>sum(B8:F8)</f>
        <v/>
      </c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</row>
    <row r="9">
      <c r="A9" s="11" t="inlineStr">
        <is>
          <t>Process Exception Investigation</t>
        </is>
      </c>
      <c r="B9" s="12">
        <f>COUNTIFS('All Data'!$B$2:$B$101,$A56,'All Data'!$E$2:$E$101,"&gt;="&amp;$B$3,'All Data'!$E$2:$E$101,"&lt;"&amp;$B$4+1, 'All Data'!$A$2:$A$101,$A$46)</f>
        <v/>
      </c>
      <c r="C9" s="12">
        <f>COUNTIFS('All Data'!$B$2:$B$101,$A56,'All Data'!$E$2:$E$101,"&gt;="&amp;$B$3,'All Data'!$E$2:$E$101,"&lt;"&amp;$B$4+1, 'All Data'!$A$2:$A$101,$A$47)</f>
        <v/>
      </c>
      <c r="D9" s="12">
        <f>COUNTIFS('All Data'!$B$2:$B$101,$A56,'All Data'!$E$2:$E$101,"&gt;="&amp;$B$3,'All Data'!$E$2:$E$101,"&lt;"&amp;$B$4+1, 'All Data'!$A$2:$A$101,$A$48)</f>
        <v/>
      </c>
      <c r="E9" s="12">
        <f>COUNTIFS('All Data'!$B$2:$B$101,$A56,'All Data'!$E$2:$E$101,"&gt;="&amp;$B$3,'All Data'!$E$2:$E$101,"&lt;"&amp;$B$4+1, 'All Data'!$A$2:$A$101,$A$49)</f>
        <v/>
      </c>
      <c r="F9" s="12">
        <f>COUNTIFS('All Data'!$B$2:$B$101,$A56,'All Data'!$E$2:$E$101,"&gt;="&amp;$B$3,'All Data'!$E$2:$E$101,"&lt;"&amp;$B$4+1, 'All Data'!$A$2:$A$101,$A$50)</f>
        <v/>
      </c>
      <c r="G9" s="12">
        <f>sum(B9:F9)</f>
        <v/>
      </c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</row>
    <row r="10">
      <c r="A10" s="13" t="inlineStr">
        <is>
          <t>Priority Escalation Review</t>
        </is>
      </c>
      <c r="B10" s="12">
        <f>COUNTIFS('All Data'!$B$2:$B$101,$A57,'All Data'!$E$2:$E$101,"&gt;="&amp;$B$3,'All Data'!$E$2:$E$101,"&lt;"&amp;$B$4+1, 'All Data'!$A$2:$A$101,$A$46)</f>
        <v/>
      </c>
      <c r="C10" s="12">
        <f>COUNTIFS('All Data'!$B$2:$B$101,$A57,'All Data'!$E$2:$E$101,"&gt;="&amp;$B$3,'All Data'!$E$2:$E$101,"&lt;"&amp;$B$4+1, 'All Data'!$A$2:$A$101,$A$47)</f>
        <v/>
      </c>
      <c r="D10" s="12">
        <f>COUNTIFS('All Data'!$B$2:$B$101,$A57,'All Data'!$E$2:$E$101,"&gt;="&amp;$B$3,'All Data'!$E$2:$E$101,"&lt;"&amp;$B$4+1, 'All Data'!$A$2:$A$101,$A$48)</f>
        <v/>
      </c>
      <c r="E10" s="12">
        <f>COUNTIFS('All Data'!$B$2:$B$101,$A57,'All Data'!$E$2:$E$101,"&gt;="&amp;$B$3,'All Data'!$E$2:$E$101,"&lt;"&amp;$B$4+1, 'All Data'!$A$2:$A$101,$A$49)</f>
        <v/>
      </c>
      <c r="F10" s="12">
        <f>COUNTIFS('All Data'!$B$2:$B$101,$A57,'All Data'!$E$2:$E$101,"&gt;="&amp;$B$3,'All Data'!$E$2:$E$101,"&lt;"&amp;$B$4+1, 'All Data'!$A$2:$A$101,$A$50)</f>
        <v/>
      </c>
      <c r="G10" s="12">
        <f>sum(B10:F10)</f>
        <v/>
      </c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</row>
    <row r="11">
      <c r="A11" s="14" t="n"/>
      <c r="B11" s="14" t="n"/>
      <c r="C11" s="14" t="n"/>
      <c r="D11" s="14" t="n"/>
      <c r="E11" s="14" t="n"/>
      <c r="F11" s="14" t="n"/>
      <c r="G11" s="14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</row>
    <row r="12">
      <c r="A12" s="15" t="inlineStr">
        <is>
          <t>SLA</t>
        </is>
      </c>
      <c r="B12" s="15" t="inlineStr">
        <is>
          <t>Team Alpha</t>
        </is>
      </c>
      <c r="C12" s="15" t="inlineStr">
        <is>
          <t>Team Beta</t>
        </is>
      </c>
      <c r="D12" s="15" t="inlineStr">
        <is>
          <t>Team Gamma</t>
        </is>
      </c>
      <c r="E12" s="15" t="inlineStr">
        <is>
          <t>Team Delta</t>
        </is>
      </c>
      <c r="F12" s="15" t="inlineStr">
        <is>
          <t>Team Epsilon</t>
        </is>
      </c>
      <c r="G12" s="15" t="inlineStr">
        <is>
          <t>Overall</t>
        </is>
      </c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</row>
    <row r="13">
      <c r="A13" s="17" t="inlineStr">
        <is>
          <t>Met</t>
        </is>
      </c>
      <c r="B13" s="17">
        <f>COUNTIFS('All Data'!$E$2:$E$101,"&gt;="&amp;$B$3,'All Data'!$E$2:$E$101,"&lt;"&amp;$B$4+1,'All Data'!$F$2:$F$101,"No", 'All Data'!$A$2:$A$101,$A46)</f>
        <v/>
      </c>
      <c r="C13" s="17">
        <f>COUNTIFS('All Data'!$E$2:$E$101,"&gt;="&amp;$B$3,'All Data'!$E$2:$E$101,"&lt;"&amp;$B$4+1,'All Data'!$F$2:$F$101,"No", 'All Data'!$A$2:$A$101,$A47)</f>
        <v/>
      </c>
      <c r="D13" s="17">
        <f>COUNTIFS('All Data'!$E$2:$E$101,"&gt;="&amp;$B$3,'All Data'!$E$2:$E$101,"&lt;"&amp;$B$4+1,'All Data'!$F$2:$F$101,"No", 'All Data'!$A$2:$A$101,$A48)</f>
        <v/>
      </c>
      <c r="E13" s="17">
        <f>COUNTIFS('All Data'!$E$2:$E$101,"&gt;="&amp;$B$3,'All Data'!$E$2:$E$101,"&lt;"&amp;$B$4+1,'All Data'!$F$2:$F$101,"No", 'All Data'!$A$2:$A$101,$A49)</f>
        <v/>
      </c>
      <c r="F13" s="17">
        <f>COUNTIFS('All Data'!$E$2:$E$101,"&gt;="&amp;$B$3,'All Data'!$E$2:$E$101,"&lt;"&amp;$B$4+1,'All Data'!$F$2:$F$101,"No", 'All Data'!$A$2:$A$101,$A50)</f>
        <v/>
      </c>
      <c r="G13" s="17">
        <f>sum(B13:F13)</f>
        <v/>
      </c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</row>
    <row r="14">
      <c r="A14" s="17" t="inlineStr">
        <is>
          <t>Not Met</t>
        </is>
      </c>
      <c r="B14" s="17">
        <f>COUNTIFS('All Data'!$E$2:$E$101,"&gt;="&amp;$B$3,'All Data'!$E$2:$E$101,"&lt;"&amp;$B$4+1,'All Data'!$F$2:$F$101,"Yes", 'All Data'!$A$2:$A$101,$A46)</f>
        <v/>
      </c>
      <c r="C14" s="17">
        <f>COUNTIFS('All Data'!$E$2:$E$101,"&gt;="&amp;$B$3,'All Data'!$E$2:$E$101,"&lt;"&amp;$B$4+1,'All Data'!$F$2:$F$101,"Yes", 'All Data'!$A$2:$A$101,$A47)</f>
        <v/>
      </c>
      <c r="D14" s="17">
        <f>COUNTIFS('All Data'!$E$2:$E$101,"&gt;="&amp;$B$3,'All Data'!$E$2:$E$101,"&lt;"&amp;$B$4+1,'All Data'!$F$2:$F$101,"Yes", 'All Data'!$A$2:$A$101,$A48)</f>
        <v/>
      </c>
      <c r="E14" s="17">
        <f>COUNTIFS('All Data'!$E$2:$E$101,"&gt;="&amp;$B$3,'All Data'!$E$2:$E$101,"&lt;"&amp;$B$4+1,'All Data'!$F$2:$F$101,"Yes", 'All Data'!$A$2:$A$101,$A49)</f>
        <v/>
      </c>
      <c r="F14" s="17">
        <f>COUNTIFS('All Data'!$E$2:$E$101,"&gt;="&amp;$B$3,'All Data'!$E$2:$E$101,"&lt;"&amp;$B$4+1,'All Data'!$F$2:$F$101,"Yes", 'All Data'!$A$2:$A$101,$A50)</f>
        <v/>
      </c>
      <c r="G14" s="17">
        <f>sum(B14:F14)</f>
        <v/>
      </c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</row>
    <row r="15"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</row>
    <row r="16">
      <c r="A16" s="20" t="inlineStr">
        <is>
          <t>Process Quality KPI Report</t>
        </is>
      </c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</row>
    <row r="18" ht="15.75" customHeight="1" s="44">
      <c r="A18" s="18" t="inlineStr">
        <is>
          <t>Older Reporting Week Start</t>
        </is>
      </c>
      <c r="B18" s="4" t="n">
        <v>46202</v>
      </c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</row>
    <row r="19" ht="15.75" customHeight="1" s="44">
      <c r="A19" s="3" t="inlineStr">
        <is>
          <t>Older Reporting Week End</t>
        </is>
      </c>
      <c r="B19" s="4" t="n">
        <v>46208</v>
      </c>
      <c r="C19" s="17" t="n"/>
      <c r="D19" s="17" t="n"/>
      <c r="E19" s="17" t="n"/>
      <c r="F19" s="17" t="n"/>
      <c r="G19" s="17" t="n"/>
      <c r="H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</row>
    <row r="20" ht="15.75" customHeight="1" s="44">
      <c r="A20" s="17" t="n"/>
      <c r="B20" s="17" t="n"/>
      <c r="C20" s="17" t="n"/>
      <c r="D20" s="17" t="n"/>
      <c r="E20" s="17" t="n"/>
      <c r="F20" s="17" t="n"/>
      <c r="G20" s="17" t="n"/>
      <c r="H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</row>
    <row r="21" ht="15.75" customHeight="1" s="44">
      <c r="A21" s="6" t="inlineStr">
        <is>
          <t>Task Type</t>
        </is>
      </c>
      <c r="B21" s="7" t="inlineStr">
        <is>
          <t>Team Alpha</t>
        </is>
      </c>
      <c r="C21" s="8" t="inlineStr">
        <is>
          <t>Team Beta</t>
        </is>
      </c>
      <c r="D21" s="7" t="inlineStr">
        <is>
          <t>Team Gamma</t>
        </is>
      </c>
      <c r="E21" s="8" t="inlineStr">
        <is>
          <t>Team Delta</t>
        </is>
      </c>
      <c r="F21" s="9" t="inlineStr">
        <is>
          <t>Team Epsilon</t>
        </is>
      </c>
      <c r="G21" s="10" t="inlineStr">
        <is>
          <t>Overall</t>
        </is>
      </c>
      <c r="H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</row>
    <row r="22" ht="15.75" customHeight="1" s="44">
      <c r="A22" s="11" t="inlineStr">
        <is>
          <t>Quality Review</t>
        </is>
      </c>
      <c r="B22" s="12">
        <f>COUNTIFS('All Data'!$B$2:$B$101,$A54,'All Data'!$E$2:$E$101,"&gt;="&amp;$B$18,'All Data'!$E$2:$E$101,"&lt;"&amp;$B$19+1, 'All Data'!$A$2:$A$101,$A46)</f>
        <v/>
      </c>
      <c r="C22" s="19">
        <f>COUNTIFS('All Data'!$B$2:$B$101,$A54,'All Data'!$E$2:$E$101,"&gt;="&amp;$B$18,'All Data'!$E$2:$E$101,"&lt;"&amp;$B$19+1, 'All Data'!$A$2:$A$101,$A47)</f>
        <v/>
      </c>
      <c r="D22" s="12">
        <f>COUNTIFS('All Data'!$B$2:$B$101,$A54,'All Data'!$E$2:$E$101,"&gt;="&amp;$B$18,'All Data'!$E$2:$E$101,"&lt;"&amp;$B$19+1, 'All Data'!$A$2:$A$101,$A48)</f>
        <v/>
      </c>
      <c r="E22" s="19">
        <f>COUNTIFS('All Data'!$B$2:$B$101,$A54,'All Data'!$E$2:$E$101,"&gt;="&amp;$B$18,'All Data'!$E$2:$E$101,"&lt;"&amp;$B$19+1, 'All Data'!$A$2:$A$101,$A49)</f>
        <v/>
      </c>
      <c r="F22" s="12">
        <f>COUNTIFS('All Data'!$B$2:$B$101,$A54,'All Data'!$E$2:$E$101,"&gt;="&amp;$B$18,'All Data'!$E$2:$E$101,"&lt;"&amp;$B$19+1, 'All Data'!$A$2:$A$101,$A50)</f>
        <v/>
      </c>
      <c r="G22" s="12">
        <f>sum(B22:F22)</f>
        <v/>
      </c>
      <c r="H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</row>
    <row r="23" ht="15.75" customHeight="1" s="44">
      <c r="A23" s="13" t="inlineStr">
        <is>
          <t>Complex Case Review</t>
        </is>
      </c>
      <c r="B23" s="12">
        <f>COUNTIFS('All Data'!$B$2:$B$101,$A55,'All Data'!$E$2:$E$101,"&gt;="&amp;$B$18,'All Data'!$E$2:$E$101,"&lt;"&amp;$B$19+1, 'All Data'!$A$2:$A$101,$A46)</f>
        <v/>
      </c>
      <c r="C23" s="19">
        <f>COUNTIFS('All Data'!$B$2:$B$101,$A55,'All Data'!$E$2:$E$101,"&gt;="&amp;$B$18,'All Data'!$E$2:$E$101,"&lt;"&amp;$B$19+1, 'All Data'!$A$2:$A$101,$A47)</f>
        <v/>
      </c>
      <c r="D23" s="12">
        <f>COUNTIFS('All Data'!$B$2:$B$101,$A55,'All Data'!$E$2:$E$101,"&gt;="&amp;$B$18,'All Data'!$E$2:$E$101,"&lt;"&amp;$B$19+1, 'All Data'!$A$2:$A$101,$A48)</f>
        <v/>
      </c>
      <c r="E23" s="19">
        <f>COUNTIFS('All Data'!$B$2:$B$101,$A55,'All Data'!$E$2:$E$101,"&gt;="&amp;$B$18,'All Data'!$E$2:$E$101,"&lt;"&amp;$B$19+1, 'All Data'!$A$2:$A$101,$A49)</f>
        <v/>
      </c>
      <c r="F23" s="12">
        <f>COUNTIFS('All Data'!$B$2:$B$101,$A55,'All Data'!$E$2:$E$101,"&gt;="&amp;$B$18,'All Data'!$E$2:$E$101,"&lt;"&amp;$B$19+1, 'All Data'!$A$2:$A$101,$A50)</f>
        <v/>
      </c>
      <c r="G23" s="12">
        <f>sum(B23:F23)</f>
        <v/>
      </c>
      <c r="H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</row>
    <row r="24" ht="15.75" customHeight="1" s="44">
      <c r="A24" s="11" t="inlineStr">
        <is>
          <t>Process Exception Investigation</t>
        </is>
      </c>
      <c r="B24" s="12">
        <f>COUNTIFS('All Data'!$B$2:$B$101,$A56,'All Data'!$E$2:$E$101,"&gt;="&amp;$B$18,'All Data'!$E$2:$E$101,"&lt;"&amp;$B$19+1, 'All Data'!$A$2:$A$101,$A46)</f>
        <v/>
      </c>
      <c r="C24" s="19">
        <f>COUNTIFS('All Data'!$B$2:$B$101,$A56,'All Data'!$E$2:$E$101,"&gt;="&amp;$B$18,'All Data'!$E$2:$E$101,"&lt;"&amp;$B$19+1, 'All Data'!$A$2:$A$101,$A47)</f>
        <v/>
      </c>
      <c r="D24" s="12">
        <f>COUNTIFS('All Data'!$B$2:$B$101,$A56,'All Data'!$E$2:$E$101,"&gt;="&amp;$B$18,'All Data'!$E$2:$E$101,"&lt;"&amp;$B$19+1, 'All Data'!$A$2:$A$101,$A48)</f>
        <v/>
      </c>
      <c r="E24" s="19">
        <f>COUNTIFS('All Data'!$B$2:$B$101,$A56,'All Data'!$E$2:$E$101,"&gt;="&amp;$B$18,'All Data'!$E$2:$E$101,"&lt;"&amp;$B$19+1, 'All Data'!$A$2:$A$101,$A49)</f>
        <v/>
      </c>
      <c r="F24" s="12">
        <f>COUNTIFS('All Data'!$B$2:$B$101,$A56,'All Data'!$E$2:$E$101,"&gt;="&amp;$B$18,'All Data'!$E$2:$E$101,"&lt;"&amp;$B$19+1, 'All Data'!$A$2:$A$101,$A50)</f>
        <v/>
      </c>
      <c r="G24" s="12">
        <f>sum(B24:F24)</f>
        <v/>
      </c>
      <c r="H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</row>
    <row r="25" ht="15.75" customHeight="1" s="44">
      <c r="A25" s="13" t="inlineStr">
        <is>
          <t>Priority Escalation Review</t>
        </is>
      </c>
      <c r="B25" s="12">
        <f>COUNTIFS('All Data'!$B$2:$B$101,$A57,'All Data'!$E$2:$E$101,"&gt;="&amp;$B$18,'All Data'!$E$2:$E$101,"&lt;"&amp;$B$19+1, 'All Data'!$A$2:$A$101,$A46)</f>
        <v/>
      </c>
      <c r="C25" s="19">
        <f>COUNTIFS('All Data'!$B$2:$B$101,$A57,'All Data'!$E$2:$E$101,"&gt;="&amp;$B$18,'All Data'!$E$2:$E$101,"&lt;"&amp;$B$19+1, 'All Data'!$A$2:$A$101,$A47)</f>
        <v/>
      </c>
      <c r="D25" s="12">
        <f>COUNTIFS('All Data'!$B$2:$B$101,$A57,'All Data'!$E$2:$E$101,"&gt;="&amp;$B$18,'All Data'!$E$2:$E$101,"&lt;"&amp;$B$19+1, 'All Data'!$A$2:$A$101,$A48)</f>
        <v/>
      </c>
      <c r="E25" s="19">
        <f>COUNTIFS('All Data'!$B$2:$B$101,$A57,'All Data'!$E$2:$E$101,"&gt;="&amp;$B$18,'All Data'!$E$2:$E$101,"&lt;"&amp;$B$19+1, 'All Data'!$A$2:$A$101,$A49)</f>
        <v/>
      </c>
      <c r="F25" s="12">
        <f>COUNTIFS('All Data'!$B$2:$B$101,$A57,'All Data'!$E$2:$E$101,"&gt;="&amp;$B$18,'All Data'!$E$2:$E$101,"&lt;"&amp;$B$19+1, 'All Data'!$A$2:$A$101,$A50)</f>
        <v/>
      </c>
      <c r="G25" s="12">
        <f>sum(B25:F25)</f>
        <v/>
      </c>
      <c r="H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</row>
    <row r="26" ht="15.75" customHeight="1" s="44">
      <c r="A26" s="14" t="n"/>
      <c r="B26" s="14" t="n"/>
      <c r="C26" s="14" t="n"/>
      <c r="D26" s="14" t="n"/>
      <c r="E26" s="14" t="n"/>
      <c r="F26" s="14" t="n"/>
      <c r="G26" s="14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</row>
    <row r="27" ht="15.75" customHeight="1" s="44">
      <c r="A27" s="15" t="inlineStr">
        <is>
          <t>SLA</t>
        </is>
      </c>
      <c r="B27" s="15" t="inlineStr">
        <is>
          <t>Team Alpha</t>
        </is>
      </c>
      <c r="C27" s="15" t="inlineStr">
        <is>
          <t>Team Beta</t>
        </is>
      </c>
      <c r="D27" s="15" t="inlineStr">
        <is>
          <t>Team Gamma</t>
        </is>
      </c>
      <c r="E27" s="15" t="inlineStr">
        <is>
          <t>Team Delta</t>
        </is>
      </c>
      <c r="F27" s="15" t="inlineStr">
        <is>
          <t>Team Epsilon</t>
        </is>
      </c>
      <c r="G27" s="15" t="inlineStr">
        <is>
          <t>Overall</t>
        </is>
      </c>
      <c r="H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</row>
    <row r="28" ht="15.75" customHeight="1" s="44">
      <c r="A28" s="17" t="inlineStr">
        <is>
          <t>Met</t>
        </is>
      </c>
      <c r="B28" s="17">
        <f>COUNTIFS('All Data'!$E$2:$E$101,"&gt;="&amp;$B$18,'All Data'!$E$2:$E$101,"&lt;"&amp;$B$19+1,'All Data'!$F$2:$F$101,"No", 'All Data'!$A$2:$A$101,$A46)</f>
        <v/>
      </c>
      <c r="C28" s="17">
        <f>COUNTIFS('All Data'!$E$2:$E$101,"&gt;="&amp;$B$18,'All Data'!$E$2:$E$101,"&lt;"&amp;$B$19+1,'All Data'!$F$2:$F$101,"No", 'All Data'!$A$2:$A$101,$A47)</f>
        <v/>
      </c>
      <c r="D28" s="17">
        <f>COUNTIFS('All Data'!$E$2:$E$101,"&gt;="&amp;$B$18,'All Data'!$E$2:$E$101,"&lt;"&amp;$B$19+1,'All Data'!$F$2:$F$101,"No", 'All Data'!$A$2:$A$101,$A48)</f>
        <v/>
      </c>
      <c r="E28" s="17">
        <f>COUNTIFS('All Data'!$E$2:$E$101,"&gt;="&amp;$B$18,'All Data'!$E$2:$E$101,"&lt;"&amp;$B$19+1,'All Data'!$F$2:$F$101,"No", 'All Data'!$A$2:$A$101,$A49)</f>
        <v/>
      </c>
      <c r="F28" s="17">
        <f>COUNTIFS('All Data'!$E$2:$E$101,"&gt;="&amp;$B$18,'All Data'!$E$2:$E$101,"&lt;"&amp;$B$19+1,'All Data'!$F$2:$F$101,"No", 'All Data'!$A$2:$A$101,$A50)</f>
        <v/>
      </c>
      <c r="G28" s="17">
        <f>sum(B28:F28)</f>
        <v/>
      </c>
      <c r="H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</row>
    <row r="29" ht="15.75" customHeight="1" s="44">
      <c r="A29" s="17" t="inlineStr">
        <is>
          <t>Not Met</t>
        </is>
      </c>
      <c r="B29" s="17">
        <f>COUNTIFS('All Data'!$E$2:$E$101,"&gt;="&amp;$B$18,'All Data'!$E$2:$E$101,"&lt;"&amp;$B$19+1,'All Data'!$F$2:$F$101,"Yes", 'All Data'!$A$2:$A$101,$A46)</f>
        <v/>
      </c>
      <c r="C29" s="17">
        <f>COUNTIFS('All Data'!$E$2:$E$101,"&gt;="&amp;$B$18,'All Data'!$E$2:$E$101,"&lt;"&amp;$B$19+1,'All Data'!$F$2:$F$101,"Yes", 'All Data'!$A$2:$A$101,$A47)</f>
        <v/>
      </c>
      <c r="D29" s="17">
        <f>COUNTIFS('All Data'!$E$2:$E$101,"&gt;="&amp;$B$18,'All Data'!$E$2:$E$101,"&lt;"&amp;$B$19+1,'All Data'!$F$2:$F$101,"Yes", 'All Data'!$A$2:$A$101,$A48)</f>
        <v/>
      </c>
      <c r="E29" s="17">
        <f>COUNTIFS('All Data'!$E$2:$E$101,"&gt;="&amp;$B$18,'All Data'!$E$2:$E$101,"&lt;"&amp;$B$19+1,'All Data'!$F$2:$F$101,"Yes", 'All Data'!$A$2:$A$101,$A49)</f>
        <v/>
      </c>
      <c r="F29" s="17">
        <f>COUNTIFS('All Data'!$E$2:$E$101,"&gt;="&amp;$B$18,'All Data'!$E$2:$E$101,"&lt;"&amp;$B$19+1,'All Data'!$F$2:$F$101,"Yes", 'All Data'!$A$2:$A$101,$A50)</f>
        <v/>
      </c>
      <c r="G29" s="17">
        <f>sum(B29:F29)</f>
        <v/>
      </c>
      <c r="H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</row>
    <row r="30" ht="15.75" customHeight="1" s="44"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</row>
    <row r="31" ht="15.75" customHeight="1" s="44">
      <c r="A31" s="20" t="inlineStr">
        <is>
          <t>WoW Comparison</t>
        </is>
      </c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</row>
    <row r="32" ht="15.75" customHeight="1" s="44"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</row>
    <row r="33">
      <c r="A33" s="6" t="inlineStr">
        <is>
          <t>Metric</t>
        </is>
      </c>
      <c r="B33" s="21" t="inlineStr">
        <is>
          <t>Older Week</t>
        </is>
      </c>
      <c r="C33" s="21" t="inlineStr">
        <is>
          <t>Recent Week</t>
        </is>
      </c>
      <c r="D33" s="21" t="inlineStr">
        <is>
          <t>Change</t>
        </is>
      </c>
      <c r="E33" s="22" t="inlineStr">
        <is>
          <t>Change %</t>
        </is>
      </c>
      <c r="F33" s="17" t="n"/>
      <c r="G33" s="17" t="n"/>
      <c r="H33" s="17" t="n"/>
    </row>
    <row r="34">
      <c r="A34" s="11" t="inlineStr">
        <is>
          <t>Total Tasks Completed</t>
        </is>
      </c>
      <c r="B34" s="23">
        <f>COUNTIFS('All Data'!$E$2:$E$101,"&gt;="&amp;$B$18,'All Data'!$E$2:$E$101,"&lt;"&amp;$B$19+1)</f>
        <v/>
      </c>
      <c r="C34" s="23">
        <f>COUNTIFS('All Data'!$E$2:$E$101,"&gt;="&amp;$B$3,'All Data'!$E$2:$E$101,"&lt;"&amp;$B$4+1)</f>
        <v/>
      </c>
      <c r="D34" s="23">
        <f>C34-B34</f>
        <v/>
      </c>
      <c r="E34" s="24">
        <f>IF(B34=0,IF(C34=0,0,1),(C34-B34)/B34)</f>
        <v/>
      </c>
      <c r="F34" s="17" t="n"/>
      <c r="G34" s="17" t="n"/>
      <c r="H34" s="17" t="n"/>
    </row>
    <row r="35">
      <c r="A35" s="13" t="inlineStr">
        <is>
          <t>Quality Review</t>
        </is>
      </c>
      <c r="B35" s="25">
        <f>COUNTIFS('All Data'!$E$2:$E$101,"&gt;="&amp;$B$18,'All Data'!$E$2:$E$101,"&lt;"&amp;$B$19+1,'All Data'!$B$2:$B$101,"Quality Review")</f>
        <v/>
      </c>
      <c r="C35" s="25">
        <f>COUNTIFS('All Data'!$E$2:$E$101,"&gt;="&amp;$B$3,'All Data'!$E$2:$E$101,"&lt;"&amp;$B$4+1,'All Data'!$B$2:$B$101,"Quality Review")</f>
        <v/>
      </c>
      <c r="D35" s="25">
        <f>C35-B35</f>
        <v/>
      </c>
      <c r="E35" s="26">
        <f>IF(B35=0,IF(C35=0,0,1),(C35-B35)/B35)</f>
        <v/>
      </c>
      <c r="F35" s="17" t="n"/>
      <c r="G35" s="17" t="n"/>
      <c r="H35" s="17" t="n"/>
    </row>
    <row r="36">
      <c r="A36" s="11" t="inlineStr">
        <is>
          <t>Complex Case Review</t>
        </is>
      </c>
      <c r="B36" s="23">
        <f>COUNTIFS('All Data'!$E$2:$E$101,"&gt;="&amp;$B$18,'All Data'!$E$2:$E$101,"&lt;"&amp;$B$19+1,'All Data'!$B$2:$B$101,"Complex Case Review")</f>
        <v/>
      </c>
      <c r="C36" s="23">
        <f>COUNTIFS('All Data'!$E$2:$E$101,"&gt;="&amp;$B$3,'All Data'!$E$2:$E$101,"&lt;"&amp;$B$4+1,'All Data'!$B$2:$B$101,"Complex Case Review")</f>
        <v/>
      </c>
      <c r="D36" s="23">
        <f>C36-B36</f>
        <v/>
      </c>
      <c r="E36" s="24">
        <f>IF(B36=0,IF(C36=0,0,1),(C36-B36)/B36)</f>
        <v/>
      </c>
      <c r="F36" s="17" t="n"/>
      <c r="G36" s="17" t="n"/>
      <c r="H36" s="17" t="n"/>
    </row>
    <row r="37">
      <c r="A37" s="13" t="inlineStr">
        <is>
          <t>Process Exception Investigation</t>
        </is>
      </c>
      <c r="B37" s="25">
        <f>COUNTIFS('All Data'!$E$2:$E$101,"&gt;="&amp;$B$18,'All Data'!$E$2:$E$101,"&lt;"&amp;$B$19+1,'All Data'!$B$2:$B$101,"Process Exception Investigation")</f>
        <v/>
      </c>
      <c r="C37" s="25">
        <f>COUNTIFS('All Data'!$E$2:$E$101,"&gt;="&amp;$B$3,'All Data'!$E$2:$E$101,"&lt;"&amp;$B$4+1,'All Data'!$B$2:$B$101,"Process Exception Investigation")</f>
        <v/>
      </c>
      <c r="D37" s="25">
        <f>C37-B37</f>
        <v/>
      </c>
      <c r="E37" s="26">
        <f>IF(B37=0,IF(C37=0,0,1),(C37-B37)/B37)</f>
        <v/>
      </c>
      <c r="F37" s="17" t="n"/>
      <c r="G37" s="17" t="n"/>
      <c r="H37" s="17" t="n"/>
    </row>
    <row r="38">
      <c r="A38" s="11" t="inlineStr">
        <is>
          <t>Priority Escalation Review</t>
        </is>
      </c>
      <c r="B38" s="23">
        <f>COUNTIFS('All Data'!$E$2:$E$101,"&gt;="&amp;$B$18,'All Data'!$E$2:$E$101,"&lt;"&amp;$B$19+1,'All Data'!$B$2:$B$101,"Priority Escalation Review")</f>
        <v/>
      </c>
      <c r="C38" s="23">
        <f>COUNTIFS('All Data'!$E$2:$E$101,"&gt;="&amp;$B$3,'All Data'!$E$2:$E$101,"&lt;"&amp;$B$4+1,'All Data'!$B$2:$B$101,"Priority Escalation Review")</f>
        <v/>
      </c>
      <c r="D38" s="23">
        <f>C38-B38</f>
        <v/>
      </c>
      <c r="E38" s="24">
        <f>IF(B38=0,IF(C38=0,0,1),(C38-B38)/B38)</f>
        <v/>
      </c>
      <c r="F38" s="17" t="n"/>
      <c r="G38" s="17" t="n"/>
      <c r="H38" s="17" t="n"/>
    </row>
    <row r="39">
      <c r="A39" s="13" t="inlineStr">
        <is>
          <t>SLA Breaches</t>
        </is>
      </c>
      <c r="B39" s="25">
        <f>COUNTIFS('All Data'!$E$2:$E$101,"&gt;="&amp;$B$18,'All Data'!$E$2:$E$101,"&lt;"&amp;$B$19+1,'All Data'!$F$2:$F$101,"Yes")</f>
        <v/>
      </c>
      <c r="C39" s="25">
        <f>COUNTIFS('All Data'!$E$2:$E$101,"&gt;="&amp;$B$3,'All Data'!$E$2:$E$101,"&lt;"&amp;$B$4+1,'All Data'!$F$2:$F$101,"Yes")</f>
        <v/>
      </c>
      <c r="D39" s="27">
        <f>C39-B39</f>
        <v/>
      </c>
      <c r="E39" s="26">
        <f>IF(B39=0,IF(C39=0,0,1),(C39-B39)/B39)</f>
        <v/>
      </c>
      <c r="F39" s="17" t="n"/>
      <c r="G39" s="17" t="n"/>
      <c r="H39" s="17" t="n"/>
    </row>
    <row r="40">
      <c r="A40" s="11" t="inlineStr">
        <is>
          <t>SLA Met</t>
        </is>
      </c>
      <c r="B40" s="23">
        <f>COUNTIFS('All Data'!$E$2:$E$101,"&gt;="&amp;$B$18,'All Data'!$E$2:$E$101,"&lt;"&amp;$B$19+1,'All Data'!$F$2:$F$101,"No")</f>
        <v/>
      </c>
      <c r="C40" s="23">
        <f>COUNTIFS('All Data'!$E$2:$E$101,"&gt;="&amp;$B$3,'All Data'!$E$2:$E$101,"&lt;"&amp;$B$4+1,'All Data'!$F$2:$F$101,"No")</f>
        <v/>
      </c>
      <c r="D40" s="28">
        <f>C40-B40</f>
        <v/>
      </c>
      <c r="E40" s="24">
        <f>IF(B40=0,IF(C40=0,0,1),(C40-B40)/B40)</f>
        <v/>
      </c>
      <c r="F40" s="17" t="n"/>
      <c r="G40" s="17" t="n"/>
      <c r="H40" s="17" t="n"/>
    </row>
    <row r="41">
      <c r="A41" s="13" t="inlineStr">
        <is>
          <t>SLA Compliance %</t>
        </is>
      </c>
      <c r="B41" s="26">
        <f>IF(B38=0,"",B40/B38)</f>
        <v/>
      </c>
      <c r="C41" s="26">
        <f>IF(C38=0,"",C40/C38)</f>
        <v/>
      </c>
      <c r="D41" s="29">
        <f>C41-B41</f>
        <v/>
      </c>
      <c r="E41" s="30">
        <f>""</f>
        <v/>
      </c>
      <c r="F41" s="17" t="n"/>
      <c r="G41" s="17" t="n"/>
      <c r="H41" s="17" t="n"/>
    </row>
    <row r="42" ht="15.75" customHeight="1" s="44">
      <c r="A42" s="31" t="inlineStr">
        <is>
          <t>Priority Escalation Share %</t>
        </is>
      </c>
      <c r="B42" s="24">
        <f>IF(B34=0,0,B38/B34)</f>
        <v/>
      </c>
      <c r="C42" s="24">
        <f>IF(C34=0,0,C38/C34)</f>
        <v/>
      </c>
      <c r="D42" s="24">
        <f>C42-B42</f>
        <v/>
      </c>
      <c r="E42" s="32">
        <f>""</f>
        <v/>
      </c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</row>
    <row r="43" ht="15.75" customHeight="1" s="44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</row>
    <row r="44" ht="15.75" customHeight="1" s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</row>
    <row r="45" ht="15.75" customHeight="1" s="44">
      <c r="A45" s="6" t="inlineStr">
        <is>
          <t>Team</t>
        </is>
      </c>
      <c r="B45" s="21" t="inlineStr">
        <is>
          <t>Older Tasks</t>
        </is>
      </c>
      <c r="C45" s="21" t="inlineStr">
        <is>
          <t>Recent Tasks</t>
        </is>
      </c>
      <c r="D45" s="21" t="inlineStr">
        <is>
          <t>WoW Change</t>
        </is>
      </c>
      <c r="E45" s="21" t="inlineStr">
        <is>
          <t>WoW Change %</t>
        </is>
      </c>
      <c r="F45" s="21" t="inlineStr">
        <is>
          <t>Older SLA %</t>
        </is>
      </c>
      <c r="G45" s="21" t="inlineStr">
        <is>
          <t>Recent SLA %</t>
        </is>
      </c>
      <c r="H45" s="22" t="inlineStr">
        <is>
          <t>SLA Change</t>
        </is>
      </c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</row>
    <row r="46">
      <c r="A46" s="11" t="inlineStr">
        <is>
          <t>Team Alpha</t>
        </is>
      </c>
      <c r="B46" s="23">
        <f>COUNTIFS('All Data'!$A$2:$A$101,$A46,'All Data'!$E$2:$E$101,"&gt;="&amp;$B$18,'All Data'!$E$2:$E$101,"&lt;"&amp;$B$19+1)</f>
        <v/>
      </c>
      <c r="C46" s="23">
        <f>COUNTIFS('All Data'!$A$2:$A$101,$A46,'All Data'!$E$2:$E$101,"&gt;="&amp;$B$3,'All Data'!$E$2:$E$101,"&lt;"&amp;$B$4+1)</f>
        <v/>
      </c>
      <c r="D46" s="23">
        <f>C46-B46</f>
        <v/>
      </c>
      <c r="E46" s="24">
        <f>IF(B46=0,IF(C46=0,0,1),(C46-B46)/B46)</f>
        <v/>
      </c>
      <c r="F46" s="24">
        <f>IFERROR(COUNTIFS('All Data'!$A$2:$A$101,$A46,'All Data'!$E$2:$E$101,"&gt;="&amp;$B$18,'All Data'!$E$2:$E$101,"&lt;"&amp;$B$19+1,'All Data'!$F$2:$F$101,"No")/COUNTIFS('All Data'!$A$2:$A$101,$A46,'All Data'!$E$2:$E$101,"&gt;="&amp;$B$18,'All Data'!$E$2:$E$101,"&lt;"&amp;$B$19+1,'All Data'!$B$2:$B$101,"Priority Escalation Review"),"")</f>
        <v/>
      </c>
      <c r="G46" s="24">
        <f>IFERROR(COUNTIFS('All Data'!$A$2:$A$101,$A46,'All Data'!$E$2:$E$101,"&gt;="&amp;$B$3,'All Data'!$E$2:$E$101,"&lt;"&amp;$B$4+1,'All Data'!$F$2:$F$101,"No")/COUNTIFS('All Data'!$A$2:$A$101,$A46,'All Data'!$E$2:$E$101,"&gt;="&amp;$B$3,'All Data'!$E$2:$E$101,"&lt;"&amp;$B$4+1,'All Data'!$B$2:$B$101,"Priority Escalation Review"),"")</f>
        <v/>
      </c>
      <c r="H46" s="24">
        <f>IF(OR(F46="",G46=""),"",G46-F46)</f>
        <v/>
      </c>
    </row>
    <row r="47" ht="15.75" customHeight="1" s="44">
      <c r="A47" s="13" t="inlineStr">
        <is>
          <t>Team Beta</t>
        </is>
      </c>
      <c r="B47" s="25">
        <f>COUNTIFS('All Data'!$A$2:$A$101,$A47,'All Data'!$E$2:$E$101,"&gt;="&amp;$B$18,'All Data'!$E$2:$E$101,"&lt;"&amp;$B$19+1)</f>
        <v/>
      </c>
      <c r="C47" s="25">
        <f>COUNTIFS('All Data'!$A$2:$A$101,$A47,'All Data'!$E$2:$E$101,"&gt;="&amp;$B$3,'All Data'!$E$2:$E$101,"&lt;"&amp;$B$4+1)</f>
        <v/>
      </c>
      <c r="D47" s="25">
        <f>C47-B47</f>
        <v/>
      </c>
      <c r="E47" s="26">
        <f>IF(B47=0,IF(C47=0,0,1),(C47-B47)/B47)</f>
        <v/>
      </c>
      <c r="F47" s="26">
        <f>IFERROR(COUNTIFS('All Data'!$A$2:$A$101,$A47,'All Data'!$E$2:$E$101,"&gt;="&amp;$B$18,'All Data'!$E$2:$E$101,"&lt;"&amp;$B$19+1,'All Data'!$F$2:$F$101,"No")/COUNTIFS('All Data'!$A$2:$A$101,$A47,'All Data'!$E$2:$E$101,"&gt;="&amp;$B$18,'All Data'!$E$2:$E$101,"&lt;"&amp;$B$19+1,'All Data'!$B$2:$B$101,"Priority Escalation Review"),"")</f>
        <v/>
      </c>
      <c r="G47" s="26">
        <f>IFERROR(COUNTIFS('All Data'!$A$2:$A$101,$A47,'All Data'!$E$2:$E$101,"&gt;="&amp;$B$3,'All Data'!$E$2:$E$101,"&lt;"&amp;$B$4+1,'All Data'!$F$2:$F$101,"No")/COUNTIFS('All Data'!$A$2:$A$101,$A47,'All Data'!$E$2:$E$101,"&gt;="&amp;$B$3,'All Data'!$E$2:$E$101,"&lt;"&amp;$B$4+1,'All Data'!$B$2:$B$101,"Priority Escalation Review"),"")</f>
        <v/>
      </c>
      <c r="H47" s="29">
        <f>IF(OR(F47="",G47=""),"",G47-F47)</f>
        <v/>
      </c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</row>
    <row r="48" ht="15.75" customHeight="1" s="44">
      <c r="A48" s="11" t="inlineStr">
        <is>
          <t>Team Gamma</t>
        </is>
      </c>
      <c r="B48" s="23">
        <f>COUNTIFS('All Data'!$A$2:$A$101,$A48,'All Data'!$E$2:$E$101,"&gt;="&amp;$B$18,'All Data'!$E$2:$E$101,"&lt;"&amp;$B$19+1)</f>
        <v/>
      </c>
      <c r="C48" s="23">
        <f>COUNTIFS('All Data'!$A$2:$A$101,$A48,'All Data'!$E$2:$E$101,"&gt;="&amp;$B$3,'All Data'!$E$2:$E$101,"&lt;"&amp;$B$4+1)</f>
        <v/>
      </c>
      <c r="D48" s="23">
        <f>C48-B48</f>
        <v/>
      </c>
      <c r="E48" s="24">
        <f>IF(B48=0,IF(C48=0,0,1),(C48-B48)/B48)</f>
        <v/>
      </c>
      <c r="F48" s="24">
        <f>IFERROR(COUNTIFS('All Data'!$A$2:$A$101,$A48,'All Data'!$E$2:$E$101,"&gt;="&amp;$B$18,'All Data'!$E$2:$E$101,"&lt;"&amp;$B$19+1,'All Data'!$F$2:$F$101,"No")/COUNTIFS('All Data'!$A$2:$A$101,$A48,'All Data'!$E$2:$E$101,"&gt;="&amp;$B$18,'All Data'!$E$2:$E$101,"&lt;"&amp;$B$19+1,'All Data'!$B$2:$B$101,"Priority Escalation Review"),"")</f>
        <v/>
      </c>
      <c r="G48" s="24">
        <f>IFERROR(COUNTIFS('All Data'!$A$2:$A$101,$A48,'All Data'!$E$2:$E$101,"&gt;="&amp;$B$3,'All Data'!$E$2:$E$101,"&lt;"&amp;$B$4+1,'All Data'!$F$2:$F$101,"No")/COUNTIFS('All Data'!$A$2:$A$101,$A48,'All Data'!$E$2:$E$101,"&gt;="&amp;$B$3,'All Data'!$E$2:$E$101,"&lt;"&amp;$B$4+1,'All Data'!$B$2:$B$101,"Priority Escalation Review"),"")</f>
        <v/>
      </c>
      <c r="H48" s="24">
        <f>IF(OR(F48="",G48=""),"",G48-F48)</f>
        <v/>
      </c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</row>
    <row r="49" ht="15.75" customHeight="1" s="44">
      <c r="A49" s="13" t="inlineStr">
        <is>
          <t>Team Delta</t>
        </is>
      </c>
      <c r="B49" s="25">
        <f>COUNTIFS('All Data'!$A$2:$A$101,$A49,'All Data'!$E$2:$E$101,"&gt;="&amp;$B$18,'All Data'!$E$2:$E$101,"&lt;"&amp;$B$19+1)</f>
        <v/>
      </c>
      <c r="C49" s="25">
        <f>COUNTIFS('All Data'!$A$2:$A$101,$A49,'All Data'!$E$2:$E$101,"&gt;="&amp;$B$3,'All Data'!$E$2:$E$101,"&lt;"&amp;$B$4+1)</f>
        <v/>
      </c>
      <c r="D49" s="25">
        <f>C49-B49</f>
        <v/>
      </c>
      <c r="E49" s="26">
        <f>IF(B49=0,IF(C49=0,0,1),(C49-B49)/B49)</f>
        <v/>
      </c>
      <c r="F49" s="26">
        <f>IFERROR(COUNTIFS('All Data'!$A$2:$A$101,$A49,'All Data'!$E$2:$E$101,"&gt;="&amp;$B$18,'All Data'!$E$2:$E$101,"&lt;"&amp;$B$19+1,'All Data'!$F$2:$F$101,"No")/COUNTIFS('All Data'!$A$2:$A$101,$A49,'All Data'!$E$2:$E$101,"&gt;="&amp;$B$18,'All Data'!$E$2:$E$101,"&lt;"&amp;$B$19+1,'All Data'!$B$2:$B$101,"Priority Escalation Review"),"")</f>
        <v/>
      </c>
      <c r="G49" s="26">
        <f>IFERROR(COUNTIFS('All Data'!$A$2:$A$101,$A49,'All Data'!$E$2:$E$101,"&gt;="&amp;$B$3,'All Data'!$E$2:$E$101,"&lt;"&amp;$B$4+1,'All Data'!$F$2:$F$101,"No")/COUNTIFS('All Data'!$A$2:$A$101,$A49,'All Data'!$E$2:$E$101,"&gt;="&amp;$B$3,'All Data'!$E$2:$E$101,"&lt;"&amp;$B$4+1,'All Data'!$B$2:$B$101,"Priority Escalation Review"),"")</f>
        <v/>
      </c>
      <c r="H49" s="26">
        <f>IF(OR(F49="",G49=""),"",G49-F49)</f>
        <v/>
      </c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</row>
    <row r="50" ht="15.75" customHeight="1" s="44">
      <c r="A50" s="31" t="inlineStr">
        <is>
          <t>Team Epsilon</t>
        </is>
      </c>
      <c r="B50" s="23">
        <f>COUNTIFS('All Data'!$A$2:$A$101,$A50,'All Data'!$E$2:$E$101,"&gt;="&amp;$B$18,'All Data'!$E$2:$E$101,"&lt;"&amp;$B$19+1)</f>
        <v/>
      </c>
      <c r="C50" s="23">
        <f>COUNTIFS('All Data'!$A$2:$A$101,$A50,'All Data'!$E$2:$E$101,"&gt;="&amp;$B$3,'All Data'!$E$2:$E$101,"&lt;"&amp;$B$4+1)</f>
        <v/>
      </c>
      <c r="D50" s="23">
        <f>C50-B50</f>
        <v/>
      </c>
      <c r="E50" s="24">
        <f>IF(B50=0,IF(C50=0,0,1),(C50-B50)/B50)</f>
        <v/>
      </c>
      <c r="F50" s="24">
        <f>IFERROR(COUNTIFS('All Data'!$A$2:$A$101,$A50,'All Data'!$E$2:$E$101,"&gt;="&amp;$B$18,'All Data'!$E$2:$E$101,"&lt;"&amp;$B$19+1,'All Data'!$F$2:$F$101,"No")/COUNTIFS('All Data'!$A$2:$A$101,$A50,'All Data'!$E$2:$E$101,"&gt;="&amp;$B$18,'All Data'!$E$2:$E$101,"&lt;"&amp;$B$19+1,'All Data'!$B$2:$B$101,"Priority Escalation Review"),"")</f>
        <v/>
      </c>
      <c r="G50" s="24">
        <f>IFERROR(COUNTIFS('All Data'!$A$2:$A$101,$A50,'All Data'!$E$2:$E$101,"&gt;="&amp;$B$3,'All Data'!$E$2:$E$101,"&lt;"&amp;$B$4+1,'All Data'!$F$2:$F$101,"No")/COUNTIFS('All Data'!$A$2:$A$101,$A50,'All Data'!$E$2:$E$101,"&gt;="&amp;$B$3,'All Data'!$E$2:$E$101,"&lt;"&amp;$B$4+1,'All Data'!$B$2:$B$101,"Priority Escalation Review"),"")</f>
        <v/>
      </c>
      <c r="H50" s="24">
        <f>IF(OR(F50="",G50=""),"",G50-F50)</f>
        <v/>
      </c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</row>
    <row r="51" ht="15.75" customHeight="1" s="44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</row>
    <row r="52" ht="15.75" customHeight="1" s="44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</row>
    <row r="53" ht="15.75" customHeight="1" s="44">
      <c r="A53" s="6" t="inlineStr">
        <is>
          <t>Task Type</t>
        </is>
      </c>
      <c r="B53" s="21" t="inlineStr">
        <is>
          <t>Older Tasks</t>
        </is>
      </c>
      <c r="C53" s="21" t="inlineStr">
        <is>
          <t>Recent Tasks</t>
        </is>
      </c>
      <c r="D53" s="21" t="inlineStr">
        <is>
          <t>WoW Change</t>
        </is>
      </c>
      <c r="E53" s="21" t="inlineStr">
        <is>
          <t>WoW Change %</t>
        </is>
      </c>
      <c r="F53" s="22" t="inlineStr">
        <is>
          <t>Recent Volume Share</t>
        </is>
      </c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</row>
    <row r="54" ht="15.75" customHeight="1" s="44">
      <c r="A54" s="11" t="inlineStr">
        <is>
          <t>Quality Review</t>
        </is>
      </c>
      <c r="B54" s="23">
        <f>COUNTIFS('All Data'!$B$2:$B$101,$A54,'All Data'!$E$2:$E$101,"&gt;="&amp;$B$18,'All Data'!$E$2:$E$101,"&lt;"&amp;$B$19+1)</f>
        <v/>
      </c>
      <c r="C54" s="23">
        <f>COUNTIFS('All Data'!$B$2:$B$101,$A54,'All Data'!$E$2:$E$101,"&gt;="&amp;$B$3,'All Data'!$E$2:$E$101,"&lt;"&amp;$B$4+1)</f>
        <v/>
      </c>
      <c r="D54" s="23">
        <f>C54-B54</f>
        <v/>
      </c>
      <c r="E54" s="24">
        <f>IF(B54=0,IF(C54=0,0,1),(C54-B54)/B54)</f>
        <v/>
      </c>
      <c r="F54" s="24">
        <f>IF($C$34=0,0,C54/$C$34)</f>
        <v/>
      </c>
      <c r="G54" s="17" t="n"/>
      <c r="H54" s="17" t="n"/>
    </row>
    <row r="55" ht="15.75" customHeight="1" s="44">
      <c r="A55" s="13" t="inlineStr">
        <is>
          <t>Complex Case Review</t>
        </is>
      </c>
      <c r="B55" s="25">
        <f>COUNTIFS('All Data'!$B$2:$B$101,$A55,'All Data'!$E$2:$E$101,"&gt;="&amp;$B$18,'All Data'!$E$2:$E$101,"&lt;"&amp;$B$19+1)</f>
        <v/>
      </c>
      <c r="C55" s="25">
        <f>COUNTIFS('All Data'!$B$2:$B$101,$A55,'All Data'!$E$2:$E$101,"&gt;="&amp;$B$3,'All Data'!$E$2:$E$101,"&lt;"&amp;$B$4+1)</f>
        <v/>
      </c>
      <c r="D55" s="25">
        <f>C55-B55</f>
        <v/>
      </c>
      <c r="E55" s="26">
        <f>IF(B55=0,IF(C55=0,0,1),(C55-B55)/B55)</f>
        <v/>
      </c>
      <c r="F55" s="26">
        <f>IF($C$34=0,0,C55/$C$34)</f>
        <v/>
      </c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</row>
    <row r="56" ht="15.75" customHeight="1" s="44">
      <c r="A56" s="11" t="inlineStr">
        <is>
          <t>Process Exception Investigation</t>
        </is>
      </c>
      <c r="B56" s="23">
        <f>COUNTIFS('All Data'!$B$2:$B$101,$A56,'All Data'!$E$2:$E$101,"&gt;="&amp;$B$18,'All Data'!$E$2:$E$101,"&lt;"&amp;$B$19+1)</f>
        <v/>
      </c>
      <c r="C56" s="23">
        <f>COUNTIFS('All Data'!$B$2:$B$101,$A56,'All Data'!$E$2:$E$101,"&gt;="&amp;$B$3,'All Data'!$E$2:$E$101,"&lt;"&amp;$B$4+1)</f>
        <v/>
      </c>
      <c r="D56" s="23">
        <f>C56-B56</f>
        <v/>
      </c>
      <c r="E56" s="24">
        <f>IF(B56=0,IF(C56=0,0,1),(C56-B56)/B56)</f>
        <v/>
      </c>
      <c r="F56" s="24">
        <f>IF($C$34=0,0,C56/$C$34)</f>
        <v/>
      </c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</row>
    <row r="57" ht="15.75" customHeight="1" s="44">
      <c r="A57" s="33" t="inlineStr">
        <is>
          <t>Priority Escalation Review</t>
        </is>
      </c>
      <c r="B57" s="25">
        <f>COUNTIFS('All Data'!$B$2:$B$101,$A57,'All Data'!$E$2:$E$101,"&gt;="&amp;$B$18,'All Data'!$E$2:$E$101,"&lt;"&amp;$B$19+1)</f>
        <v/>
      </c>
      <c r="C57" s="25">
        <f>COUNTIFS('All Data'!$B$2:$B$101,$A57,'All Data'!$E$2:$E$101,"&gt;="&amp;$B$3,'All Data'!$E$2:$E$101,"&lt;"&amp;$B$4+1)</f>
        <v/>
      </c>
      <c r="D57" s="25">
        <f>C57-B57</f>
        <v/>
      </c>
      <c r="E57" s="26">
        <f>IF(B57=0,IF(C57=0,0,1),(C57-B57)/B57)</f>
        <v/>
      </c>
      <c r="F57" s="26">
        <f>IF($C$34=0,0,C57/$C$34)</f>
        <v/>
      </c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</row>
    <row r="58" ht="15.75" customHeight="1" s="44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</row>
    <row r="59" ht="15.75" customHeight="1" s="44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</row>
    <row r="60" ht="15.75" customHeight="1" s="44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</row>
    <row r="61" ht="15.75" customHeight="1" s="44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</row>
    <row r="62" ht="15.75" customHeight="1" s="44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</row>
    <row r="63" ht="15.75" customHeight="1" s="44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</row>
    <row r="64" ht="15.75" customHeight="1" s="4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</row>
    <row r="65" ht="15.75" customHeight="1" s="44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</row>
    <row r="66" ht="15.75" customHeight="1" s="44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</row>
    <row r="67" ht="15.75" customHeight="1" s="44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</row>
    <row r="68" ht="15.75" customHeight="1" s="44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</row>
    <row r="69" ht="15.75" customHeight="1" s="44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</row>
    <row r="70" ht="15.75" customHeight="1" s="44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</row>
    <row r="71" ht="15.75" customHeight="1" s="44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</row>
    <row r="72" ht="15.75" customHeight="1" s="44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</row>
    <row r="73" ht="15.75" customHeight="1" s="44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</row>
    <row r="74" ht="15.75" customHeight="1" s="4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</row>
    <row r="75" ht="15.75" customHeight="1" s="44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</row>
    <row r="76" ht="15.75" customHeight="1" s="44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</row>
    <row r="77" ht="15.75" customHeight="1" s="44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</row>
    <row r="78" ht="15.75" customHeight="1" s="44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</row>
    <row r="79" ht="15.75" customHeight="1" s="44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</row>
    <row r="80" ht="15.75" customHeight="1" s="44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</row>
    <row r="81" ht="15.75" customHeight="1" s="44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</row>
    <row r="82" ht="15.75" customHeight="1" s="44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</row>
    <row r="83" ht="15.75" customHeight="1" s="44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</row>
    <row r="84" ht="15.75" customHeight="1" s="4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</row>
    <row r="85" ht="15.75" customHeight="1" s="44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</row>
    <row r="86" ht="15.75" customHeight="1" s="44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</row>
    <row r="87" ht="15.75" customHeight="1" s="44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</row>
    <row r="88" ht="15.75" customHeight="1" s="44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</row>
    <row r="89" ht="15.75" customHeight="1" s="44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</row>
    <row r="90" ht="15.75" customHeight="1" s="44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</row>
    <row r="91" ht="15.75" customHeight="1" s="44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</row>
    <row r="92" ht="15.75" customHeight="1" s="44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</row>
    <row r="93" ht="15.75" customHeight="1" s="44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</row>
    <row r="94" ht="15.75" customHeight="1" s="4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</row>
    <row r="95" ht="15.75" customHeight="1" s="44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</row>
    <row r="96" ht="15.75" customHeight="1" s="44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</row>
    <row r="97" ht="15.75" customHeight="1" s="44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</row>
    <row r="98" ht="15.75" customHeight="1" s="44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</row>
    <row r="99" ht="15.75" customHeight="1" s="44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</row>
    <row r="100" ht="15.75" customHeight="1" s="44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</row>
    <row r="101" ht="15.75" customHeight="1" s="44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</row>
    <row r="102" ht="15.75" customHeight="1" s="44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</row>
    <row r="103" ht="15.75" customHeight="1" s="44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</row>
    <row r="104" ht="15.75" customHeight="1" s="4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</row>
    <row r="105" ht="15.75" customHeight="1" s="44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</row>
    <row r="106" ht="15.75" customHeight="1" s="44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</row>
    <row r="107" ht="15.75" customHeight="1" s="44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</row>
    <row r="108" ht="15.75" customHeight="1" s="44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</row>
    <row r="109" ht="15.75" customHeight="1" s="44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</row>
    <row r="110" ht="15.75" customHeight="1" s="44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</row>
    <row r="111" ht="15.75" customHeight="1" s="44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</row>
    <row r="112" ht="15.75" customHeight="1" s="44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</row>
    <row r="113" ht="15.75" customHeight="1" s="44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</row>
    <row r="114" ht="15.75" customHeight="1" s="4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</row>
    <row r="115" ht="15.75" customHeight="1" s="44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</row>
    <row r="116" ht="15.75" customHeight="1" s="44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</row>
    <row r="117" ht="15.75" customHeight="1" s="44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</row>
    <row r="118" ht="15.75" customHeight="1" s="44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</row>
    <row r="119" ht="15.75" customHeight="1" s="44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</row>
    <row r="120" ht="15.75" customHeight="1" s="44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</row>
    <row r="121" ht="15.75" customHeight="1" s="44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</row>
    <row r="122" ht="15.75" customHeight="1" s="44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</row>
    <row r="123" ht="15.75" customHeight="1" s="44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</row>
    <row r="124" ht="15.75" customHeight="1" s="4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</row>
    <row r="125" ht="15.75" customHeight="1" s="44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</row>
    <row r="126" ht="15.75" customHeight="1" s="44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</row>
    <row r="127" ht="15.75" customHeight="1" s="44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</row>
    <row r="128" ht="15.75" customHeight="1" s="44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</row>
    <row r="129" ht="15.75" customHeight="1" s="44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</row>
    <row r="130" ht="15.75" customHeight="1" s="44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</row>
    <row r="131" ht="15.75" customHeight="1" s="44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</row>
    <row r="132" ht="15.75" customHeight="1" s="44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</row>
    <row r="133" ht="15.75" customHeight="1" s="44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</row>
    <row r="134" ht="15.75" customHeight="1" s="4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</row>
    <row r="135" ht="15.75" customHeight="1" s="44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</row>
    <row r="136" ht="15.75" customHeight="1" s="44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</row>
    <row r="137" ht="15.75" customHeight="1" s="44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</row>
    <row r="138" ht="15.75" customHeight="1" s="44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</row>
    <row r="139" ht="15.75" customHeight="1" s="44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</row>
    <row r="140" ht="15.75" customHeight="1" s="44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</row>
    <row r="141" ht="15.75" customHeight="1" s="44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</row>
    <row r="142" ht="15.75" customHeight="1" s="44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</row>
    <row r="143" ht="15.75" customHeight="1" s="44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</row>
    <row r="144" ht="15.75" customHeight="1" s="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</row>
    <row r="145" ht="15.75" customHeight="1" s="44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</row>
    <row r="146" ht="15.75" customHeight="1" s="44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</row>
    <row r="147" ht="15.75" customHeight="1" s="44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</row>
    <row r="148" ht="15.75" customHeight="1" s="44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</row>
    <row r="149" ht="15.75" customHeight="1" s="44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</row>
    <row r="150" ht="15.75" customHeight="1" s="44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</row>
    <row r="151" ht="15.75" customHeight="1" s="44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</row>
    <row r="152" ht="15.75" customHeight="1" s="44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</row>
    <row r="153" ht="15.75" customHeight="1" s="44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</row>
    <row r="154" ht="15.75" customHeight="1" s="4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</row>
    <row r="155" ht="15.75" customHeight="1" s="44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</row>
    <row r="156" ht="15.75" customHeight="1" s="44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</row>
    <row r="157" ht="15.75" customHeight="1" s="44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</row>
    <row r="158" ht="15.75" customHeight="1" s="44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</row>
    <row r="159" ht="15.75" customHeight="1" s="44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</row>
    <row r="160" ht="15.75" customHeight="1" s="44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</row>
    <row r="161" ht="15.75" customHeight="1" s="44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</row>
    <row r="162" ht="15.75" customHeight="1" s="44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</row>
    <row r="163" ht="15.75" customHeight="1" s="44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</row>
    <row r="164" ht="15.75" customHeight="1" s="4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</row>
    <row r="165" ht="15.75" customHeight="1" s="44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</row>
    <row r="166" ht="15.75" customHeight="1" s="44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</row>
    <row r="167" ht="15.75" customHeight="1" s="44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</row>
    <row r="168" ht="15.75" customHeight="1" s="44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</row>
    <row r="169" ht="15.75" customHeight="1" s="44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</row>
    <row r="170" ht="15.75" customHeight="1" s="44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</row>
    <row r="171" ht="15.75" customHeight="1" s="44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</row>
    <row r="172" ht="15.75" customHeight="1" s="44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</row>
    <row r="173" ht="15.75" customHeight="1" s="44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</row>
    <row r="174" ht="15.75" customHeight="1" s="4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</row>
    <row r="175" ht="15.75" customHeight="1" s="44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</row>
    <row r="176" ht="15.75" customHeight="1" s="44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</row>
    <row r="177" ht="15.75" customHeight="1" s="44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</row>
    <row r="178" ht="15.75" customHeight="1" s="44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</row>
    <row r="179" ht="15.75" customHeight="1" s="44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</row>
    <row r="180" ht="15.75" customHeight="1" s="44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</row>
    <row r="181" ht="15.75" customHeight="1" s="44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</row>
    <row r="182" ht="15.75" customHeight="1" s="44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</row>
    <row r="183" ht="15.75" customHeight="1" s="44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</row>
    <row r="184" ht="15.75" customHeight="1" s="4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</row>
    <row r="185" ht="15.75" customHeight="1" s="44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</row>
    <row r="186" ht="15.75" customHeight="1" s="44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</row>
    <row r="187" ht="15.75" customHeight="1" s="44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</row>
    <row r="188" ht="15.75" customHeight="1" s="44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</row>
    <row r="189" ht="15.75" customHeight="1" s="44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</row>
    <row r="190" ht="15.75" customHeight="1" s="44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</row>
    <row r="191" ht="15.75" customHeight="1" s="44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</row>
    <row r="192" ht="15.75" customHeight="1" s="44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</row>
    <row r="193" ht="15.75" customHeight="1" s="44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</row>
    <row r="194" ht="15.75" customHeight="1" s="4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</row>
    <row r="195" ht="15.75" customHeight="1" s="44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</row>
    <row r="196" ht="15.75" customHeight="1" s="44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</row>
    <row r="197" ht="15.75" customHeight="1" s="44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</row>
    <row r="198" ht="15.75" customHeight="1" s="44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</row>
    <row r="199" ht="15.75" customHeight="1" s="44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</row>
    <row r="200" ht="15.75" customHeight="1" s="44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</row>
    <row r="201" ht="15.75" customHeight="1" s="44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</row>
    <row r="202" ht="15.75" customHeight="1" s="44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</row>
    <row r="203" ht="15.75" customHeight="1" s="44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</row>
    <row r="204" ht="15.75" customHeight="1" s="4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</row>
    <row r="205" ht="15.75" customHeight="1" s="44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</row>
    <row r="206" ht="15.75" customHeight="1" s="44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</row>
    <row r="207" ht="15.75" customHeight="1" s="44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</row>
    <row r="208" ht="15.75" customHeight="1" s="44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</row>
    <row r="209" ht="15.75" customHeight="1" s="44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</row>
    <row r="210" ht="15.75" customHeight="1" s="44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</row>
    <row r="211" ht="15.75" customHeight="1" s="44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</row>
    <row r="212" ht="15.75" customHeight="1" s="44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</row>
    <row r="213" ht="15.75" customHeight="1" s="44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</row>
    <row r="214" ht="15.75" customHeight="1" s="4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</row>
    <row r="215" ht="15.75" customHeight="1" s="44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</row>
    <row r="216" ht="15.75" customHeight="1" s="44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</row>
    <row r="217" ht="15.75" customHeight="1" s="44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</row>
    <row r="218" ht="15.75" customHeight="1" s="44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</row>
    <row r="219" ht="15.75" customHeight="1" s="44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</row>
    <row r="220" ht="15.75" customHeight="1" s="44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</row>
    <row r="221" ht="15.75" customHeight="1" s="44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</row>
    <row r="222" ht="15.75" customHeight="1" s="44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</row>
    <row r="223" ht="15.75" customHeight="1" s="44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</row>
    <row r="224" ht="15.75" customHeight="1" s="4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</row>
    <row r="225" ht="15.75" customHeight="1" s="44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</row>
    <row r="226" ht="15.75" customHeight="1" s="44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</row>
    <row r="227" ht="15.75" customHeight="1" s="44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</row>
    <row r="228" ht="15.75" customHeight="1" s="44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</row>
    <row r="229" ht="15.75" customHeight="1" s="44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</row>
    <row r="230" ht="15.75" customHeight="1" s="44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</row>
    <row r="231" ht="15.75" customHeight="1" s="44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</row>
    <row r="232" ht="15.75" customHeight="1" s="44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</row>
    <row r="233" ht="15.75" customHeight="1" s="44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</row>
    <row r="234" ht="15.75" customHeight="1" s="4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</row>
    <row r="235" ht="15.75" customHeight="1" s="44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</row>
    <row r="236" ht="15.75" customHeight="1" s="44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</row>
    <row r="237" ht="15.75" customHeight="1" s="44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</row>
    <row r="238" ht="15.75" customHeight="1" s="44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</row>
    <row r="239" ht="15.75" customHeight="1" s="44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</row>
    <row r="240" ht="15.75" customHeight="1" s="44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</row>
    <row r="241" ht="15.75" customHeight="1" s="44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</row>
    <row r="242" ht="15.75" customHeight="1" s="44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</row>
    <row r="243" ht="15.75" customHeight="1" s="44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</row>
    <row r="244" ht="15.75" customHeight="1" s="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</row>
    <row r="245" ht="15.75" customHeight="1" s="44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</row>
    <row r="246" ht="15.75" customHeight="1" s="44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</row>
    <row r="247" ht="15.75" customHeight="1" s="44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</row>
    <row r="248" ht="15.75" customHeight="1" s="44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</row>
    <row r="249" ht="15.75" customHeight="1" s="44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</row>
    <row r="250" ht="15.75" customHeight="1" s="44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</row>
    <row r="251" ht="15.75" customHeight="1" s="44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</row>
    <row r="252" ht="15.75" customHeight="1" s="44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</row>
    <row r="253" ht="15.75" customHeight="1" s="44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</row>
    <row r="254" ht="15.75" customHeight="1" s="4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</row>
    <row r="255" ht="15.75" customHeight="1" s="44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</row>
    <row r="256" ht="15.75" customHeight="1" s="44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</row>
    <row r="257" ht="15.75" customHeight="1" s="44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</row>
    <row r="258" ht="15.75" customHeight="1" s="44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</row>
    <row r="259" ht="15.75" customHeight="1" s="44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</row>
    <row r="260" ht="15.75" customHeight="1" s="44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</row>
    <row r="261" ht="15.75" customHeight="1" s="44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</row>
    <row r="262" ht="15.75" customHeight="1" s="44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</row>
    <row r="263" ht="15.75" customHeight="1" s="44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</row>
    <row r="264" ht="15.75" customHeight="1" s="4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</row>
    <row r="265" ht="15.75" customHeight="1" s="44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</row>
    <row r="266" ht="15.75" customHeight="1" s="44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</row>
    <row r="267" ht="15.75" customHeight="1" s="44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</row>
    <row r="268" ht="15.75" customHeight="1" s="44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</row>
    <row r="269" ht="15.75" customHeight="1" s="44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</row>
    <row r="270" ht="15.75" customHeight="1" s="44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</row>
    <row r="271" ht="15.75" customHeight="1" s="44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</row>
    <row r="272" ht="15.75" customHeight="1" s="44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</row>
    <row r="273" ht="15.75" customHeight="1" s="44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</row>
    <row r="274" ht="15.75" customHeight="1" s="4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</row>
    <row r="275" ht="15.75" customHeight="1" s="44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</row>
    <row r="276" ht="15.75" customHeight="1" s="44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</row>
    <row r="277" ht="15.75" customHeight="1" s="44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</row>
    <row r="278" ht="15.75" customHeight="1" s="44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</row>
    <row r="279" ht="15.75" customHeight="1" s="44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</row>
    <row r="280" ht="15.75" customHeight="1" s="44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</row>
    <row r="281" ht="15.75" customHeight="1" s="44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</row>
    <row r="282" ht="15.75" customHeight="1" s="44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</row>
    <row r="283" ht="15.75" customHeight="1" s="44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</row>
    <row r="284" ht="15.75" customHeight="1" s="4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</row>
    <row r="285" ht="15.75" customHeight="1" s="44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</row>
    <row r="286" ht="15.75" customHeight="1" s="44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</row>
    <row r="287" ht="15.75" customHeight="1" s="44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</row>
    <row r="288" ht="15.75" customHeight="1" s="44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</row>
    <row r="289" ht="15.75" customHeight="1" s="44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</row>
    <row r="290" ht="15.75" customHeight="1" s="44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</row>
    <row r="291" ht="15.75" customHeight="1" s="44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</row>
    <row r="292" ht="15.75" customHeight="1" s="44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</row>
    <row r="293" ht="15.75" customHeight="1" s="44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</row>
    <row r="294" ht="15.75" customHeight="1" s="4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</row>
    <row r="295" ht="15.75" customHeight="1" s="44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</row>
    <row r="296" ht="15.75" customHeight="1" s="44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</row>
    <row r="297" ht="15.75" customHeight="1" s="44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</row>
    <row r="298" ht="15.75" customHeight="1" s="44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</row>
    <row r="299" ht="15.75" customHeight="1" s="44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</row>
    <row r="300" ht="15.75" customHeight="1" s="44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</row>
    <row r="301" ht="15.75" customHeight="1" s="44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</row>
    <row r="302" ht="15.75" customHeight="1" s="44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</row>
    <row r="303" ht="15.75" customHeight="1" s="44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</row>
    <row r="304" ht="15.75" customHeight="1" s="4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</row>
    <row r="305" ht="15.75" customHeight="1" s="44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7" t="n"/>
      <c r="AA305" s="17" t="n"/>
      <c r="AB305" s="17" t="n"/>
      <c r="AC305" s="17" t="n"/>
      <c r="AD305" s="17" t="n"/>
      <c r="AE305" s="17" t="n"/>
      <c r="AF305" s="17" t="n"/>
      <c r="AG305" s="17" t="n"/>
      <c r="AH305" s="17" t="n"/>
      <c r="AI305" s="17" t="n"/>
      <c r="AJ305" s="17" t="n"/>
    </row>
    <row r="306" ht="15.75" customHeight="1" s="44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7" t="n"/>
      <c r="Z306" s="17" t="n"/>
      <c r="AA306" s="17" t="n"/>
      <c r="AB306" s="17" t="n"/>
      <c r="AC306" s="17" t="n"/>
      <c r="AD306" s="17" t="n"/>
      <c r="AE306" s="17" t="n"/>
      <c r="AF306" s="17" t="n"/>
      <c r="AG306" s="17" t="n"/>
      <c r="AH306" s="17" t="n"/>
      <c r="AI306" s="17" t="n"/>
      <c r="AJ306" s="17" t="n"/>
    </row>
    <row r="307" ht="15.75" customHeight="1" s="44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7" t="n"/>
      <c r="Z307" s="17" t="n"/>
      <c r="AA307" s="17" t="n"/>
      <c r="AB307" s="17" t="n"/>
      <c r="AC307" s="17" t="n"/>
      <c r="AD307" s="17" t="n"/>
      <c r="AE307" s="17" t="n"/>
      <c r="AF307" s="17" t="n"/>
      <c r="AG307" s="17" t="n"/>
      <c r="AH307" s="17" t="n"/>
      <c r="AI307" s="17" t="n"/>
      <c r="AJ307" s="17" t="n"/>
    </row>
    <row r="308" ht="15.75" customHeight="1" s="44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7" t="n"/>
      <c r="AA308" s="17" t="n"/>
      <c r="AB308" s="17" t="n"/>
      <c r="AC308" s="17" t="n"/>
      <c r="AD308" s="17" t="n"/>
      <c r="AE308" s="17" t="n"/>
      <c r="AF308" s="17" t="n"/>
      <c r="AG308" s="17" t="n"/>
      <c r="AH308" s="17" t="n"/>
      <c r="AI308" s="17" t="n"/>
      <c r="AJ308" s="17" t="n"/>
    </row>
    <row r="309" ht="15.75" customHeight="1" s="44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/>
      <c r="Z309" s="17" t="n"/>
      <c r="AA309" s="17" t="n"/>
      <c r="AB309" s="17" t="n"/>
      <c r="AC309" s="17" t="n"/>
      <c r="AD309" s="17" t="n"/>
      <c r="AE309" s="17" t="n"/>
      <c r="AF309" s="17" t="n"/>
      <c r="AG309" s="17" t="n"/>
      <c r="AH309" s="17" t="n"/>
      <c r="AI309" s="17" t="n"/>
      <c r="AJ309" s="17" t="n"/>
    </row>
    <row r="310" ht="15.75" customHeight="1" s="44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/>
      <c r="Z310" s="17" t="n"/>
      <c r="AA310" s="17" t="n"/>
      <c r="AB310" s="17" t="n"/>
      <c r="AC310" s="17" t="n"/>
      <c r="AD310" s="17" t="n"/>
      <c r="AE310" s="17" t="n"/>
      <c r="AF310" s="17" t="n"/>
      <c r="AG310" s="17" t="n"/>
      <c r="AH310" s="17" t="n"/>
      <c r="AI310" s="17" t="n"/>
      <c r="AJ310" s="17" t="n"/>
    </row>
    <row r="311" ht="15.75" customHeight="1" s="44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/>
      <c r="Z311" s="17" t="n"/>
      <c r="AA311" s="17" t="n"/>
      <c r="AB311" s="17" t="n"/>
      <c r="AC311" s="17" t="n"/>
      <c r="AD311" s="17" t="n"/>
      <c r="AE311" s="17" t="n"/>
      <c r="AF311" s="17" t="n"/>
      <c r="AG311" s="17" t="n"/>
      <c r="AH311" s="17" t="n"/>
      <c r="AI311" s="17" t="n"/>
      <c r="AJ311" s="17" t="n"/>
    </row>
    <row r="312" ht="15.75" customHeight="1" s="44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7" t="n"/>
      <c r="Z312" s="17" t="n"/>
      <c r="AA312" s="17" t="n"/>
      <c r="AB312" s="17" t="n"/>
      <c r="AC312" s="17" t="n"/>
      <c r="AD312" s="17" t="n"/>
      <c r="AE312" s="17" t="n"/>
      <c r="AF312" s="17" t="n"/>
      <c r="AG312" s="17" t="n"/>
      <c r="AH312" s="17" t="n"/>
      <c r="AI312" s="17" t="n"/>
      <c r="AJ312" s="17" t="n"/>
    </row>
    <row r="313" ht="15.75" customHeight="1" s="44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7" t="n"/>
      <c r="Z313" s="17" t="n"/>
      <c r="AA313" s="17" t="n"/>
      <c r="AB313" s="17" t="n"/>
      <c r="AC313" s="17" t="n"/>
      <c r="AD313" s="17" t="n"/>
      <c r="AE313" s="17" t="n"/>
      <c r="AF313" s="17" t="n"/>
      <c r="AG313" s="17" t="n"/>
      <c r="AH313" s="17" t="n"/>
      <c r="AI313" s="17" t="n"/>
      <c r="AJ313" s="17" t="n"/>
    </row>
    <row r="314" ht="15.75" customHeight="1" s="4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/>
      <c r="Z314" s="17" t="n"/>
      <c r="AA314" s="17" t="n"/>
      <c r="AB314" s="17" t="n"/>
      <c r="AC314" s="17" t="n"/>
      <c r="AD314" s="17" t="n"/>
      <c r="AE314" s="17" t="n"/>
      <c r="AF314" s="17" t="n"/>
      <c r="AG314" s="17" t="n"/>
      <c r="AH314" s="17" t="n"/>
      <c r="AI314" s="17" t="n"/>
      <c r="AJ314" s="17" t="n"/>
    </row>
    <row r="315" ht="15.75" customHeight="1" s="44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7" t="n"/>
      <c r="Z315" s="17" t="n"/>
      <c r="AA315" s="17" t="n"/>
      <c r="AB315" s="17" t="n"/>
      <c r="AC315" s="17" t="n"/>
      <c r="AD315" s="17" t="n"/>
      <c r="AE315" s="17" t="n"/>
      <c r="AF315" s="17" t="n"/>
      <c r="AG315" s="17" t="n"/>
      <c r="AH315" s="17" t="n"/>
      <c r="AI315" s="17" t="n"/>
      <c r="AJ315" s="17" t="n"/>
    </row>
    <row r="316" ht="15.75" customHeight="1" s="44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7" t="n"/>
      <c r="Z316" s="17" t="n"/>
      <c r="AA316" s="17" t="n"/>
      <c r="AB316" s="17" t="n"/>
      <c r="AC316" s="17" t="n"/>
      <c r="AD316" s="17" t="n"/>
      <c r="AE316" s="17" t="n"/>
      <c r="AF316" s="17" t="n"/>
      <c r="AG316" s="17" t="n"/>
      <c r="AH316" s="17" t="n"/>
      <c r="AI316" s="17" t="n"/>
      <c r="AJ316" s="17" t="n"/>
    </row>
    <row r="317" ht="15.75" customHeight="1" s="44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/>
      <c r="Z317" s="17" t="n"/>
      <c r="AA317" s="17" t="n"/>
      <c r="AB317" s="17" t="n"/>
      <c r="AC317" s="17" t="n"/>
      <c r="AD317" s="17" t="n"/>
      <c r="AE317" s="17" t="n"/>
      <c r="AF317" s="17" t="n"/>
      <c r="AG317" s="17" t="n"/>
      <c r="AH317" s="17" t="n"/>
      <c r="AI317" s="17" t="n"/>
      <c r="AJ317" s="17" t="n"/>
    </row>
    <row r="318" ht="15.75" customHeight="1" s="44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7" t="n"/>
      <c r="AA318" s="17" t="n"/>
      <c r="AB318" s="17" t="n"/>
      <c r="AC318" s="17" t="n"/>
      <c r="AD318" s="17" t="n"/>
      <c r="AE318" s="17" t="n"/>
      <c r="AF318" s="17" t="n"/>
      <c r="AG318" s="17" t="n"/>
      <c r="AH318" s="17" t="n"/>
      <c r="AI318" s="17" t="n"/>
      <c r="AJ318" s="17" t="n"/>
    </row>
    <row r="319" ht="15.75" customHeight="1" s="44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/>
      <c r="Z319" s="17" t="n"/>
      <c r="AA319" s="17" t="n"/>
      <c r="AB319" s="17" t="n"/>
      <c r="AC319" s="17" t="n"/>
      <c r="AD319" s="17" t="n"/>
      <c r="AE319" s="17" t="n"/>
      <c r="AF319" s="17" t="n"/>
      <c r="AG319" s="17" t="n"/>
      <c r="AH319" s="17" t="n"/>
      <c r="AI319" s="17" t="n"/>
      <c r="AJ319" s="17" t="n"/>
    </row>
    <row r="320" ht="15.75" customHeight="1" s="44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/>
      <c r="Z320" s="17" t="n"/>
      <c r="AA320" s="17" t="n"/>
      <c r="AB320" s="17" t="n"/>
      <c r="AC320" s="17" t="n"/>
      <c r="AD320" s="17" t="n"/>
      <c r="AE320" s="17" t="n"/>
      <c r="AF320" s="17" t="n"/>
      <c r="AG320" s="17" t="n"/>
      <c r="AH320" s="17" t="n"/>
      <c r="AI320" s="17" t="n"/>
      <c r="AJ320" s="17" t="n"/>
    </row>
    <row r="321" ht="15.75" customHeight="1" s="44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/>
      <c r="Z321" s="17" t="n"/>
      <c r="AA321" s="17" t="n"/>
      <c r="AB321" s="17" t="n"/>
      <c r="AC321" s="17" t="n"/>
      <c r="AD321" s="17" t="n"/>
      <c r="AE321" s="17" t="n"/>
      <c r="AF321" s="17" t="n"/>
      <c r="AG321" s="17" t="n"/>
      <c r="AH321" s="17" t="n"/>
      <c r="AI321" s="17" t="n"/>
      <c r="AJ321" s="17" t="n"/>
    </row>
    <row r="322" ht="15.75" customHeight="1" s="44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/>
      <c r="Z322" s="17" t="n"/>
      <c r="AA322" s="17" t="n"/>
      <c r="AB322" s="17" t="n"/>
      <c r="AC322" s="17" t="n"/>
      <c r="AD322" s="17" t="n"/>
      <c r="AE322" s="17" t="n"/>
      <c r="AF322" s="17" t="n"/>
      <c r="AG322" s="17" t="n"/>
      <c r="AH322" s="17" t="n"/>
      <c r="AI322" s="17" t="n"/>
      <c r="AJ322" s="17" t="n"/>
    </row>
    <row r="323" ht="15.75" customHeight="1" s="44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/>
      <c r="Z323" s="17" t="n"/>
      <c r="AA323" s="17" t="n"/>
      <c r="AB323" s="17" t="n"/>
      <c r="AC323" s="17" t="n"/>
      <c r="AD323" s="17" t="n"/>
      <c r="AE323" s="17" t="n"/>
      <c r="AF323" s="17" t="n"/>
      <c r="AG323" s="17" t="n"/>
      <c r="AH323" s="17" t="n"/>
      <c r="AI323" s="17" t="n"/>
      <c r="AJ323" s="17" t="n"/>
    </row>
    <row r="324" ht="15.75" customHeight="1" s="4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7" t="n"/>
      <c r="AA324" s="17" t="n"/>
      <c r="AB324" s="17" t="n"/>
      <c r="AC324" s="17" t="n"/>
      <c r="AD324" s="17" t="n"/>
      <c r="AE324" s="17" t="n"/>
      <c r="AF324" s="17" t="n"/>
      <c r="AG324" s="17" t="n"/>
      <c r="AH324" s="17" t="n"/>
      <c r="AI324" s="17" t="n"/>
      <c r="AJ324" s="17" t="n"/>
    </row>
    <row r="325" ht="15.75" customHeight="1" s="44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/>
      <c r="Z325" s="17" t="n"/>
      <c r="AA325" s="17" t="n"/>
      <c r="AB325" s="17" t="n"/>
      <c r="AC325" s="17" t="n"/>
      <c r="AD325" s="17" t="n"/>
      <c r="AE325" s="17" t="n"/>
      <c r="AF325" s="17" t="n"/>
      <c r="AG325" s="17" t="n"/>
      <c r="AH325" s="17" t="n"/>
      <c r="AI325" s="17" t="n"/>
      <c r="AJ325" s="17" t="n"/>
    </row>
    <row r="326" ht="15.75" customHeight="1" s="44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/>
      <c r="Z326" s="17" t="n"/>
      <c r="AA326" s="17" t="n"/>
      <c r="AB326" s="17" t="n"/>
      <c r="AC326" s="17" t="n"/>
      <c r="AD326" s="17" t="n"/>
      <c r="AE326" s="17" t="n"/>
      <c r="AF326" s="17" t="n"/>
      <c r="AG326" s="17" t="n"/>
      <c r="AH326" s="17" t="n"/>
      <c r="AI326" s="17" t="n"/>
      <c r="AJ326" s="17" t="n"/>
    </row>
    <row r="327" ht="15.75" customHeight="1" s="44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7" t="n"/>
      <c r="AA327" s="17" t="n"/>
      <c r="AB327" s="17" t="n"/>
      <c r="AC327" s="17" t="n"/>
      <c r="AD327" s="17" t="n"/>
      <c r="AE327" s="17" t="n"/>
      <c r="AF327" s="17" t="n"/>
      <c r="AG327" s="17" t="n"/>
      <c r="AH327" s="17" t="n"/>
      <c r="AI327" s="17" t="n"/>
      <c r="AJ327" s="17" t="n"/>
    </row>
    <row r="328" ht="15.75" customHeight="1" s="44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7" t="n"/>
      <c r="AA328" s="17" t="n"/>
      <c r="AB328" s="17" t="n"/>
      <c r="AC328" s="17" t="n"/>
      <c r="AD328" s="17" t="n"/>
      <c r="AE328" s="17" t="n"/>
      <c r="AF328" s="17" t="n"/>
      <c r="AG328" s="17" t="n"/>
      <c r="AH328" s="17" t="n"/>
      <c r="AI328" s="17" t="n"/>
      <c r="AJ328" s="17" t="n"/>
    </row>
    <row r="329" ht="15.75" customHeight="1" s="44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7" t="n"/>
      <c r="AA329" s="17" t="n"/>
      <c r="AB329" s="17" t="n"/>
      <c r="AC329" s="17" t="n"/>
      <c r="AD329" s="17" t="n"/>
      <c r="AE329" s="17" t="n"/>
      <c r="AF329" s="17" t="n"/>
      <c r="AG329" s="17" t="n"/>
      <c r="AH329" s="17" t="n"/>
      <c r="AI329" s="17" t="n"/>
      <c r="AJ329" s="17" t="n"/>
    </row>
    <row r="330" ht="15.75" customHeight="1" s="44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/>
      <c r="Z330" s="17" t="n"/>
      <c r="AA330" s="17" t="n"/>
      <c r="AB330" s="17" t="n"/>
      <c r="AC330" s="17" t="n"/>
      <c r="AD330" s="17" t="n"/>
      <c r="AE330" s="17" t="n"/>
      <c r="AF330" s="17" t="n"/>
      <c r="AG330" s="17" t="n"/>
      <c r="AH330" s="17" t="n"/>
      <c r="AI330" s="17" t="n"/>
      <c r="AJ330" s="17" t="n"/>
    </row>
    <row r="331" ht="15.75" customHeight="1" s="44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/>
      <c r="Z331" s="17" t="n"/>
      <c r="AA331" s="17" t="n"/>
      <c r="AB331" s="17" t="n"/>
      <c r="AC331" s="17" t="n"/>
      <c r="AD331" s="17" t="n"/>
      <c r="AE331" s="17" t="n"/>
      <c r="AF331" s="17" t="n"/>
      <c r="AG331" s="17" t="n"/>
      <c r="AH331" s="17" t="n"/>
      <c r="AI331" s="17" t="n"/>
      <c r="AJ331" s="17" t="n"/>
    </row>
    <row r="332" ht="15.75" customHeight="1" s="44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/>
      <c r="Z332" s="17" t="n"/>
      <c r="AA332" s="17" t="n"/>
      <c r="AB332" s="17" t="n"/>
      <c r="AC332" s="17" t="n"/>
      <c r="AD332" s="17" t="n"/>
      <c r="AE332" s="17" t="n"/>
      <c r="AF332" s="17" t="n"/>
      <c r="AG332" s="17" t="n"/>
      <c r="AH332" s="17" t="n"/>
      <c r="AI332" s="17" t="n"/>
      <c r="AJ332" s="17" t="n"/>
    </row>
    <row r="333" ht="15.75" customHeight="1" s="44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7" t="n"/>
      <c r="AA333" s="17" t="n"/>
      <c r="AB333" s="17" t="n"/>
      <c r="AC333" s="17" t="n"/>
      <c r="AD333" s="17" t="n"/>
      <c r="AE333" s="17" t="n"/>
      <c r="AF333" s="17" t="n"/>
      <c r="AG333" s="17" t="n"/>
      <c r="AH333" s="17" t="n"/>
      <c r="AI333" s="17" t="n"/>
      <c r="AJ333" s="17" t="n"/>
    </row>
    <row r="334" ht="15.75" customHeight="1" s="4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7" t="n"/>
      <c r="AA334" s="17" t="n"/>
      <c r="AB334" s="17" t="n"/>
      <c r="AC334" s="17" t="n"/>
      <c r="AD334" s="17" t="n"/>
      <c r="AE334" s="17" t="n"/>
      <c r="AF334" s="17" t="n"/>
      <c r="AG334" s="17" t="n"/>
      <c r="AH334" s="17" t="n"/>
      <c r="AI334" s="17" t="n"/>
      <c r="AJ334" s="17" t="n"/>
    </row>
    <row r="335" ht="15.75" customHeight="1" s="44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/>
      <c r="Z335" s="17" t="n"/>
      <c r="AA335" s="17" t="n"/>
      <c r="AB335" s="17" t="n"/>
      <c r="AC335" s="17" t="n"/>
      <c r="AD335" s="17" t="n"/>
      <c r="AE335" s="17" t="n"/>
      <c r="AF335" s="17" t="n"/>
      <c r="AG335" s="17" t="n"/>
      <c r="AH335" s="17" t="n"/>
      <c r="AI335" s="17" t="n"/>
      <c r="AJ335" s="17" t="n"/>
    </row>
    <row r="336" ht="15.75" customHeight="1" s="44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/>
      <c r="Z336" s="17" t="n"/>
      <c r="AA336" s="17" t="n"/>
      <c r="AB336" s="17" t="n"/>
      <c r="AC336" s="17" t="n"/>
      <c r="AD336" s="17" t="n"/>
      <c r="AE336" s="17" t="n"/>
      <c r="AF336" s="17" t="n"/>
      <c r="AG336" s="17" t="n"/>
      <c r="AH336" s="17" t="n"/>
      <c r="AI336" s="17" t="n"/>
      <c r="AJ336" s="17" t="n"/>
    </row>
    <row r="337" ht="15.75" customHeight="1" s="44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7" t="n"/>
      <c r="Z337" s="17" t="n"/>
      <c r="AA337" s="17" t="n"/>
      <c r="AB337" s="17" t="n"/>
      <c r="AC337" s="17" t="n"/>
      <c r="AD337" s="17" t="n"/>
      <c r="AE337" s="17" t="n"/>
      <c r="AF337" s="17" t="n"/>
      <c r="AG337" s="17" t="n"/>
      <c r="AH337" s="17" t="n"/>
      <c r="AI337" s="17" t="n"/>
      <c r="AJ337" s="17" t="n"/>
    </row>
    <row r="338" ht="15.75" customHeight="1" s="44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/>
      <c r="Z338" s="17" t="n"/>
      <c r="AA338" s="17" t="n"/>
      <c r="AB338" s="17" t="n"/>
      <c r="AC338" s="17" t="n"/>
      <c r="AD338" s="17" t="n"/>
      <c r="AE338" s="17" t="n"/>
      <c r="AF338" s="17" t="n"/>
      <c r="AG338" s="17" t="n"/>
      <c r="AH338" s="17" t="n"/>
      <c r="AI338" s="17" t="n"/>
      <c r="AJ338" s="17" t="n"/>
    </row>
    <row r="339" ht="15.75" customHeight="1" s="44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/>
      <c r="Z339" s="17" t="n"/>
      <c r="AA339" s="17" t="n"/>
      <c r="AB339" s="17" t="n"/>
      <c r="AC339" s="17" t="n"/>
      <c r="AD339" s="17" t="n"/>
      <c r="AE339" s="17" t="n"/>
      <c r="AF339" s="17" t="n"/>
      <c r="AG339" s="17" t="n"/>
      <c r="AH339" s="17" t="n"/>
      <c r="AI339" s="17" t="n"/>
      <c r="AJ339" s="17" t="n"/>
    </row>
    <row r="340" ht="15.75" customHeight="1" s="44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7" t="n"/>
      <c r="Z340" s="17" t="n"/>
      <c r="AA340" s="17" t="n"/>
      <c r="AB340" s="17" t="n"/>
      <c r="AC340" s="17" t="n"/>
      <c r="AD340" s="17" t="n"/>
      <c r="AE340" s="17" t="n"/>
      <c r="AF340" s="17" t="n"/>
      <c r="AG340" s="17" t="n"/>
      <c r="AH340" s="17" t="n"/>
      <c r="AI340" s="17" t="n"/>
      <c r="AJ340" s="17" t="n"/>
    </row>
    <row r="341" ht="15.75" customHeight="1" s="44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/>
      <c r="Z341" s="17" t="n"/>
      <c r="AA341" s="17" t="n"/>
      <c r="AB341" s="17" t="n"/>
      <c r="AC341" s="17" t="n"/>
      <c r="AD341" s="17" t="n"/>
      <c r="AE341" s="17" t="n"/>
      <c r="AF341" s="17" t="n"/>
      <c r="AG341" s="17" t="n"/>
      <c r="AH341" s="17" t="n"/>
      <c r="AI341" s="17" t="n"/>
      <c r="AJ341" s="17" t="n"/>
    </row>
    <row r="342" ht="15.75" customHeight="1" s="44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/>
      <c r="Z342" s="17" t="n"/>
      <c r="AA342" s="17" t="n"/>
      <c r="AB342" s="17" t="n"/>
      <c r="AC342" s="17" t="n"/>
      <c r="AD342" s="17" t="n"/>
      <c r="AE342" s="17" t="n"/>
      <c r="AF342" s="17" t="n"/>
      <c r="AG342" s="17" t="n"/>
      <c r="AH342" s="17" t="n"/>
      <c r="AI342" s="17" t="n"/>
      <c r="AJ342" s="17" t="n"/>
    </row>
    <row r="343" ht="15.75" customHeight="1" s="44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7" t="n"/>
      <c r="AA343" s="17" t="n"/>
      <c r="AB343" s="17" t="n"/>
      <c r="AC343" s="17" t="n"/>
      <c r="AD343" s="17" t="n"/>
      <c r="AE343" s="17" t="n"/>
      <c r="AF343" s="17" t="n"/>
      <c r="AG343" s="17" t="n"/>
      <c r="AH343" s="17" t="n"/>
      <c r="AI343" s="17" t="n"/>
      <c r="AJ343" s="17" t="n"/>
    </row>
    <row r="344" ht="15.75" customHeight="1" s="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/>
      <c r="Z344" s="17" t="n"/>
      <c r="AA344" s="17" t="n"/>
      <c r="AB344" s="17" t="n"/>
      <c r="AC344" s="17" t="n"/>
      <c r="AD344" s="17" t="n"/>
      <c r="AE344" s="17" t="n"/>
      <c r="AF344" s="17" t="n"/>
      <c r="AG344" s="17" t="n"/>
      <c r="AH344" s="17" t="n"/>
      <c r="AI344" s="17" t="n"/>
      <c r="AJ344" s="17" t="n"/>
    </row>
    <row r="345" ht="15.75" customHeight="1" s="44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/>
      <c r="Z345" s="17" t="n"/>
      <c r="AA345" s="17" t="n"/>
      <c r="AB345" s="17" t="n"/>
      <c r="AC345" s="17" t="n"/>
      <c r="AD345" s="17" t="n"/>
      <c r="AE345" s="17" t="n"/>
      <c r="AF345" s="17" t="n"/>
      <c r="AG345" s="17" t="n"/>
      <c r="AH345" s="17" t="n"/>
      <c r="AI345" s="17" t="n"/>
      <c r="AJ345" s="17" t="n"/>
    </row>
    <row r="346" ht="15.75" customHeight="1" s="44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/>
      <c r="Z346" s="17" t="n"/>
      <c r="AA346" s="17" t="n"/>
      <c r="AB346" s="17" t="n"/>
      <c r="AC346" s="17" t="n"/>
      <c r="AD346" s="17" t="n"/>
      <c r="AE346" s="17" t="n"/>
      <c r="AF346" s="17" t="n"/>
      <c r="AG346" s="17" t="n"/>
      <c r="AH346" s="17" t="n"/>
      <c r="AI346" s="17" t="n"/>
      <c r="AJ346" s="17" t="n"/>
    </row>
    <row r="347" ht="15.75" customHeight="1" s="44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/>
      <c r="Z347" s="17" t="n"/>
      <c r="AA347" s="17" t="n"/>
      <c r="AB347" s="17" t="n"/>
      <c r="AC347" s="17" t="n"/>
      <c r="AD347" s="17" t="n"/>
      <c r="AE347" s="17" t="n"/>
      <c r="AF347" s="17" t="n"/>
      <c r="AG347" s="17" t="n"/>
      <c r="AH347" s="17" t="n"/>
      <c r="AI347" s="17" t="n"/>
      <c r="AJ347" s="17" t="n"/>
    </row>
    <row r="348" ht="15.75" customHeight="1" s="44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7" t="n"/>
      <c r="Z348" s="17" t="n"/>
      <c r="AA348" s="17" t="n"/>
      <c r="AB348" s="17" t="n"/>
      <c r="AC348" s="17" t="n"/>
      <c r="AD348" s="17" t="n"/>
      <c r="AE348" s="17" t="n"/>
      <c r="AF348" s="17" t="n"/>
      <c r="AG348" s="17" t="n"/>
      <c r="AH348" s="17" t="n"/>
      <c r="AI348" s="17" t="n"/>
      <c r="AJ348" s="17" t="n"/>
    </row>
    <row r="349" ht="15.75" customHeight="1" s="44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/>
      <c r="Z349" s="17" t="n"/>
      <c r="AA349" s="17" t="n"/>
      <c r="AB349" s="17" t="n"/>
      <c r="AC349" s="17" t="n"/>
      <c r="AD349" s="17" t="n"/>
      <c r="AE349" s="17" t="n"/>
      <c r="AF349" s="17" t="n"/>
      <c r="AG349" s="17" t="n"/>
      <c r="AH349" s="17" t="n"/>
      <c r="AI349" s="17" t="n"/>
      <c r="AJ349" s="17" t="n"/>
    </row>
    <row r="350" ht="15.75" customHeight="1" s="44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/>
      <c r="Z350" s="17" t="n"/>
      <c r="AA350" s="17" t="n"/>
      <c r="AB350" s="17" t="n"/>
      <c r="AC350" s="17" t="n"/>
      <c r="AD350" s="17" t="n"/>
      <c r="AE350" s="17" t="n"/>
      <c r="AF350" s="17" t="n"/>
      <c r="AG350" s="17" t="n"/>
      <c r="AH350" s="17" t="n"/>
      <c r="AI350" s="17" t="n"/>
      <c r="AJ350" s="17" t="n"/>
    </row>
    <row r="351" ht="15.75" customHeight="1" s="44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/>
      <c r="Z351" s="17" t="n"/>
      <c r="AA351" s="17" t="n"/>
      <c r="AB351" s="17" t="n"/>
      <c r="AC351" s="17" t="n"/>
      <c r="AD351" s="17" t="n"/>
      <c r="AE351" s="17" t="n"/>
      <c r="AF351" s="17" t="n"/>
      <c r="AG351" s="17" t="n"/>
      <c r="AH351" s="17" t="n"/>
      <c r="AI351" s="17" t="n"/>
      <c r="AJ351" s="17" t="n"/>
    </row>
    <row r="352" ht="15.75" customHeight="1" s="44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/>
      <c r="Z352" s="17" t="n"/>
      <c r="AA352" s="17" t="n"/>
      <c r="AB352" s="17" t="n"/>
      <c r="AC352" s="17" t="n"/>
      <c r="AD352" s="17" t="n"/>
      <c r="AE352" s="17" t="n"/>
      <c r="AF352" s="17" t="n"/>
      <c r="AG352" s="17" t="n"/>
      <c r="AH352" s="17" t="n"/>
      <c r="AI352" s="17" t="n"/>
      <c r="AJ352" s="17" t="n"/>
    </row>
    <row r="353" ht="15.75" customHeight="1" s="44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7" t="n"/>
      <c r="AA353" s="17" t="n"/>
      <c r="AB353" s="17" t="n"/>
      <c r="AC353" s="17" t="n"/>
      <c r="AD353" s="17" t="n"/>
      <c r="AE353" s="17" t="n"/>
      <c r="AF353" s="17" t="n"/>
      <c r="AG353" s="17" t="n"/>
      <c r="AH353" s="17" t="n"/>
      <c r="AI353" s="17" t="n"/>
      <c r="AJ353" s="17" t="n"/>
    </row>
    <row r="354" ht="15.75" customHeight="1" s="4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7" t="n"/>
      <c r="AA354" s="17" t="n"/>
      <c r="AB354" s="17" t="n"/>
      <c r="AC354" s="17" t="n"/>
      <c r="AD354" s="17" t="n"/>
      <c r="AE354" s="17" t="n"/>
      <c r="AF354" s="17" t="n"/>
      <c r="AG354" s="17" t="n"/>
      <c r="AH354" s="17" t="n"/>
      <c r="AI354" s="17" t="n"/>
      <c r="AJ354" s="17" t="n"/>
    </row>
    <row r="355" ht="15.75" customHeight="1" s="44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7" t="n"/>
      <c r="AA355" s="17" t="n"/>
      <c r="AB355" s="17" t="n"/>
      <c r="AC355" s="17" t="n"/>
      <c r="AD355" s="17" t="n"/>
      <c r="AE355" s="17" t="n"/>
      <c r="AF355" s="17" t="n"/>
      <c r="AG355" s="17" t="n"/>
      <c r="AH355" s="17" t="n"/>
      <c r="AI355" s="17" t="n"/>
      <c r="AJ355" s="17" t="n"/>
    </row>
    <row r="356" ht="15.75" customHeight="1" s="44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7" t="n"/>
      <c r="AA356" s="17" t="n"/>
      <c r="AB356" s="17" t="n"/>
      <c r="AC356" s="17" t="n"/>
      <c r="AD356" s="17" t="n"/>
      <c r="AE356" s="17" t="n"/>
      <c r="AF356" s="17" t="n"/>
      <c r="AG356" s="17" t="n"/>
      <c r="AH356" s="17" t="n"/>
      <c r="AI356" s="17" t="n"/>
      <c r="AJ356" s="17" t="n"/>
    </row>
    <row r="357" ht="15.75" customHeight="1" s="44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/>
      <c r="Z357" s="17" t="n"/>
      <c r="AA357" s="17" t="n"/>
      <c r="AB357" s="17" t="n"/>
      <c r="AC357" s="17" t="n"/>
      <c r="AD357" s="17" t="n"/>
      <c r="AE357" s="17" t="n"/>
      <c r="AF357" s="17" t="n"/>
      <c r="AG357" s="17" t="n"/>
      <c r="AH357" s="17" t="n"/>
      <c r="AI357" s="17" t="n"/>
      <c r="AJ357" s="17" t="n"/>
    </row>
    <row r="358" ht="15.75" customHeight="1" s="44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/>
      <c r="Z358" s="17" t="n"/>
      <c r="AA358" s="17" t="n"/>
      <c r="AB358" s="17" t="n"/>
      <c r="AC358" s="17" t="n"/>
      <c r="AD358" s="17" t="n"/>
      <c r="AE358" s="17" t="n"/>
      <c r="AF358" s="17" t="n"/>
      <c r="AG358" s="17" t="n"/>
      <c r="AH358" s="17" t="n"/>
      <c r="AI358" s="17" t="n"/>
      <c r="AJ358" s="17" t="n"/>
    </row>
    <row r="359" ht="15.75" customHeight="1" s="44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/>
      <c r="Z359" s="17" t="n"/>
      <c r="AA359" s="17" t="n"/>
      <c r="AB359" s="17" t="n"/>
      <c r="AC359" s="17" t="n"/>
      <c r="AD359" s="17" t="n"/>
      <c r="AE359" s="17" t="n"/>
      <c r="AF359" s="17" t="n"/>
      <c r="AG359" s="17" t="n"/>
      <c r="AH359" s="17" t="n"/>
      <c r="AI359" s="17" t="n"/>
      <c r="AJ359" s="17" t="n"/>
    </row>
    <row r="360" ht="15.75" customHeight="1" s="44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/>
      <c r="Z360" s="17" t="n"/>
      <c r="AA360" s="17" t="n"/>
      <c r="AB360" s="17" t="n"/>
      <c r="AC360" s="17" t="n"/>
      <c r="AD360" s="17" t="n"/>
      <c r="AE360" s="17" t="n"/>
      <c r="AF360" s="17" t="n"/>
      <c r="AG360" s="17" t="n"/>
      <c r="AH360" s="17" t="n"/>
      <c r="AI360" s="17" t="n"/>
      <c r="AJ360" s="17" t="n"/>
    </row>
    <row r="361" ht="15.75" customHeight="1" s="44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7" t="n"/>
      <c r="Z361" s="17" t="n"/>
      <c r="AA361" s="17" t="n"/>
      <c r="AB361" s="17" t="n"/>
      <c r="AC361" s="17" t="n"/>
      <c r="AD361" s="17" t="n"/>
      <c r="AE361" s="17" t="n"/>
      <c r="AF361" s="17" t="n"/>
      <c r="AG361" s="17" t="n"/>
      <c r="AH361" s="17" t="n"/>
      <c r="AI361" s="17" t="n"/>
      <c r="AJ361" s="17" t="n"/>
    </row>
    <row r="362" ht="15.75" customHeight="1" s="44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7" t="n"/>
      <c r="Z362" s="17" t="n"/>
      <c r="AA362" s="17" t="n"/>
      <c r="AB362" s="17" t="n"/>
      <c r="AC362" s="17" t="n"/>
      <c r="AD362" s="17" t="n"/>
      <c r="AE362" s="17" t="n"/>
      <c r="AF362" s="17" t="n"/>
      <c r="AG362" s="17" t="n"/>
      <c r="AH362" s="17" t="n"/>
      <c r="AI362" s="17" t="n"/>
      <c r="AJ362" s="17" t="n"/>
    </row>
    <row r="363" ht="15.75" customHeight="1" s="44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/>
      <c r="Z363" s="17" t="n"/>
      <c r="AA363" s="17" t="n"/>
      <c r="AB363" s="17" t="n"/>
      <c r="AC363" s="17" t="n"/>
      <c r="AD363" s="17" t="n"/>
      <c r="AE363" s="17" t="n"/>
      <c r="AF363" s="17" t="n"/>
      <c r="AG363" s="17" t="n"/>
      <c r="AH363" s="17" t="n"/>
      <c r="AI363" s="17" t="n"/>
      <c r="AJ363" s="17" t="n"/>
    </row>
    <row r="364" ht="15.75" customHeight="1" s="4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7" t="n"/>
      <c r="AA364" s="17" t="n"/>
      <c r="AB364" s="17" t="n"/>
      <c r="AC364" s="17" t="n"/>
      <c r="AD364" s="17" t="n"/>
      <c r="AE364" s="17" t="n"/>
      <c r="AF364" s="17" t="n"/>
      <c r="AG364" s="17" t="n"/>
      <c r="AH364" s="17" t="n"/>
      <c r="AI364" s="17" t="n"/>
      <c r="AJ364" s="17" t="n"/>
    </row>
    <row r="365" ht="15.75" customHeight="1" s="44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7" t="n"/>
      <c r="Z365" s="17" t="n"/>
      <c r="AA365" s="17" t="n"/>
      <c r="AB365" s="17" t="n"/>
      <c r="AC365" s="17" t="n"/>
      <c r="AD365" s="17" t="n"/>
      <c r="AE365" s="17" t="n"/>
      <c r="AF365" s="17" t="n"/>
      <c r="AG365" s="17" t="n"/>
      <c r="AH365" s="17" t="n"/>
      <c r="AI365" s="17" t="n"/>
      <c r="AJ365" s="17" t="n"/>
    </row>
    <row r="366" ht="15.75" customHeight="1" s="44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/>
      <c r="Z366" s="17" t="n"/>
      <c r="AA366" s="17" t="n"/>
      <c r="AB366" s="17" t="n"/>
      <c r="AC366" s="17" t="n"/>
      <c r="AD366" s="17" t="n"/>
      <c r="AE366" s="17" t="n"/>
      <c r="AF366" s="17" t="n"/>
      <c r="AG366" s="17" t="n"/>
      <c r="AH366" s="17" t="n"/>
      <c r="AI366" s="17" t="n"/>
      <c r="AJ366" s="17" t="n"/>
    </row>
    <row r="367" ht="15.75" customHeight="1" s="44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/>
      <c r="Z367" s="17" t="n"/>
      <c r="AA367" s="17" t="n"/>
      <c r="AB367" s="17" t="n"/>
      <c r="AC367" s="17" t="n"/>
      <c r="AD367" s="17" t="n"/>
      <c r="AE367" s="17" t="n"/>
      <c r="AF367" s="17" t="n"/>
      <c r="AG367" s="17" t="n"/>
      <c r="AH367" s="17" t="n"/>
      <c r="AI367" s="17" t="n"/>
      <c r="AJ367" s="17" t="n"/>
    </row>
    <row r="368" ht="15.75" customHeight="1" s="44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/>
      <c r="Z368" s="17" t="n"/>
      <c r="AA368" s="17" t="n"/>
      <c r="AB368" s="17" t="n"/>
      <c r="AC368" s="17" t="n"/>
      <c r="AD368" s="17" t="n"/>
      <c r="AE368" s="17" t="n"/>
      <c r="AF368" s="17" t="n"/>
      <c r="AG368" s="17" t="n"/>
      <c r="AH368" s="17" t="n"/>
      <c r="AI368" s="17" t="n"/>
      <c r="AJ368" s="17" t="n"/>
    </row>
    <row r="369" ht="15.75" customHeight="1" s="44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/>
      <c r="Z369" s="17" t="n"/>
      <c r="AA369" s="17" t="n"/>
      <c r="AB369" s="17" t="n"/>
      <c r="AC369" s="17" t="n"/>
      <c r="AD369" s="17" t="n"/>
      <c r="AE369" s="17" t="n"/>
      <c r="AF369" s="17" t="n"/>
      <c r="AG369" s="17" t="n"/>
      <c r="AH369" s="17" t="n"/>
      <c r="AI369" s="17" t="n"/>
      <c r="AJ369" s="17" t="n"/>
    </row>
    <row r="370" ht="15.75" customHeight="1" s="44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/>
      <c r="Z370" s="17" t="n"/>
      <c r="AA370" s="17" t="n"/>
      <c r="AB370" s="17" t="n"/>
      <c r="AC370" s="17" t="n"/>
      <c r="AD370" s="17" t="n"/>
      <c r="AE370" s="17" t="n"/>
      <c r="AF370" s="17" t="n"/>
      <c r="AG370" s="17" t="n"/>
      <c r="AH370" s="17" t="n"/>
      <c r="AI370" s="17" t="n"/>
      <c r="AJ370" s="17" t="n"/>
    </row>
    <row r="371" ht="15.75" customHeight="1" s="44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/>
      <c r="Z371" s="17" t="n"/>
      <c r="AA371" s="17" t="n"/>
      <c r="AB371" s="17" t="n"/>
      <c r="AC371" s="17" t="n"/>
      <c r="AD371" s="17" t="n"/>
      <c r="AE371" s="17" t="n"/>
      <c r="AF371" s="17" t="n"/>
      <c r="AG371" s="17" t="n"/>
      <c r="AH371" s="17" t="n"/>
      <c r="AI371" s="17" t="n"/>
      <c r="AJ371" s="17" t="n"/>
    </row>
    <row r="372" ht="15.75" customHeight="1" s="44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/>
      <c r="Z372" s="17" t="n"/>
      <c r="AA372" s="17" t="n"/>
      <c r="AB372" s="17" t="n"/>
      <c r="AC372" s="17" t="n"/>
      <c r="AD372" s="17" t="n"/>
      <c r="AE372" s="17" t="n"/>
      <c r="AF372" s="17" t="n"/>
      <c r="AG372" s="17" t="n"/>
      <c r="AH372" s="17" t="n"/>
      <c r="AI372" s="17" t="n"/>
      <c r="AJ372" s="17" t="n"/>
    </row>
    <row r="373" ht="15.75" customHeight="1" s="44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/>
      <c r="Z373" s="17" t="n"/>
      <c r="AA373" s="17" t="n"/>
      <c r="AB373" s="17" t="n"/>
      <c r="AC373" s="17" t="n"/>
      <c r="AD373" s="17" t="n"/>
      <c r="AE373" s="17" t="n"/>
      <c r="AF373" s="17" t="n"/>
      <c r="AG373" s="17" t="n"/>
      <c r="AH373" s="17" t="n"/>
      <c r="AI373" s="17" t="n"/>
      <c r="AJ373" s="17" t="n"/>
    </row>
    <row r="374" ht="15.75" customHeight="1" s="4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/>
      <c r="Z374" s="17" t="n"/>
      <c r="AA374" s="17" t="n"/>
      <c r="AB374" s="17" t="n"/>
      <c r="AC374" s="17" t="n"/>
      <c r="AD374" s="17" t="n"/>
      <c r="AE374" s="17" t="n"/>
      <c r="AF374" s="17" t="n"/>
      <c r="AG374" s="17" t="n"/>
      <c r="AH374" s="17" t="n"/>
      <c r="AI374" s="17" t="n"/>
      <c r="AJ374" s="17" t="n"/>
    </row>
    <row r="375" ht="15.75" customHeight="1" s="44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7" t="n"/>
      <c r="AA375" s="17" t="n"/>
      <c r="AB375" s="17" t="n"/>
      <c r="AC375" s="17" t="n"/>
      <c r="AD375" s="17" t="n"/>
      <c r="AE375" s="17" t="n"/>
      <c r="AF375" s="17" t="n"/>
      <c r="AG375" s="17" t="n"/>
      <c r="AH375" s="17" t="n"/>
      <c r="AI375" s="17" t="n"/>
      <c r="AJ375" s="17" t="n"/>
    </row>
    <row r="376" ht="15.75" customHeight="1" s="44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/>
      <c r="Z376" s="17" t="n"/>
      <c r="AA376" s="17" t="n"/>
      <c r="AB376" s="17" t="n"/>
      <c r="AC376" s="17" t="n"/>
      <c r="AD376" s="17" t="n"/>
      <c r="AE376" s="17" t="n"/>
      <c r="AF376" s="17" t="n"/>
      <c r="AG376" s="17" t="n"/>
      <c r="AH376" s="17" t="n"/>
      <c r="AI376" s="17" t="n"/>
      <c r="AJ376" s="17" t="n"/>
    </row>
    <row r="377" ht="15.75" customHeight="1" s="44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7" t="n"/>
      <c r="Z377" s="17" t="n"/>
      <c r="AA377" s="17" t="n"/>
      <c r="AB377" s="17" t="n"/>
      <c r="AC377" s="17" t="n"/>
      <c r="AD377" s="17" t="n"/>
      <c r="AE377" s="17" t="n"/>
      <c r="AF377" s="17" t="n"/>
      <c r="AG377" s="17" t="n"/>
      <c r="AH377" s="17" t="n"/>
      <c r="AI377" s="17" t="n"/>
      <c r="AJ377" s="17" t="n"/>
    </row>
    <row r="378" ht="15.75" customHeight="1" s="44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/>
      <c r="Z378" s="17" t="n"/>
      <c r="AA378" s="17" t="n"/>
      <c r="AB378" s="17" t="n"/>
      <c r="AC378" s="17" t="n"/>
      <c r="AD378" s="17" t="n"/>
      <c r="AE378" s="17" t="n"/>
      <c r="AF378" s="17" t="n"/>
      <c r="AG378" s="17" t="n"/>
      <c r="AH378" s="17" t="n"/>
      <c r="AI378" s="17" t="n"/>
      <c r="AJ378" s="17" t="n"/>
    </row>
    <row r="379" ht="15.75" customHeight="1" s="44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7" t="n"/>
      <c r="AA379" s="17" t="n"/>
      <c r="AB379" s="17" t="n"/>
      <c r="AC379" s="17" t="n"/>
      <c r="AD379" s="17" t="n"/>
      <c r="AE379" s="17" t="n"/>
      <c r="AF379" s="17" t="n"/>
      <c r="AG379" s="17" t="n"/>
      <c r="AH379" s="17" t="n"/>
      <c r="AI379" s="17" t="n"/>
      <c r="AJ379" s="17" t="n"/>
    </row>
    <row r="380" ht="15.75" customHeight="1" s="44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/>
      <c r="Z380" s="17" t="n"/>
      <c r="AA380" s="17" t="n"/>
      <c r="AB380" s="17" t="n"/>
      <c r="AC380" s="17" t="n"/>
      <c r="AD380" s="17" t="n"/>
      <c r="AE380" s="17" t="n"/>
      <c r="AF380" s="17" t="n"/>
      <c r="AG380" s="17" t="n"/>
      <c r="AH380" s="17" t="n"/>
      <c r="AI380" s="17" t="n"/>
      <c r="AJ380" s="17" t="n"/>
    </row>
    <row r="381" ht="15.75" customHeight="1" s="44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7" t="n"/>
      <c r="Z381" s="17" t="n"/>
      <c r="AA381" s="17" t="n"/>
      <c r="AB381" s="17" t="n"/>
      <c r="AC381" s="17" t="n"/>
      <c r="AD381" s="17" t="n"/>
      <c r="AE381" s="17" t="n"/>
      <c r="AF381" s="17" t="n"/>
      <c r="AG381" s="17" t="n"/>
      <c r="AH381" s="17" t="n"/>
      <c r="AI381" s="17" t="n"/>
      <c r="AJ381" s="17" t="n"/>
    </row>
    <row r="382" ht="15.75" customHeight="1" s="44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/>
      <c r="Z382" s="17" t="n"/>
      <c r="AA382" s="17" t="n"/>
      <c r="AB382" s="17" t="n"/>
      <c r="AC382" s="17" t="n"/>
      <c r="AD382" s="17" t="n"/>
      <c r="AE382" s="17" t="n"/>
      <c r="AF382" s="17" t="n"/>
      <c r="AG382" s="17" t="n"/>
      <c r="AH382" s="17" t="n"/>
      <c r="AI382" s="17" t="n"/>
      <c r="AJ382" s="17" t="n"/>
    </row>
    <row r="383" ht="15.75" customHeight="1" s="44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/>
      <c r="Z383" s="17" t="n"/>
      <c r="AA383" s="17" t="n"/>
      <c r="AB383" s="17" t="n"/>
      <c r="AC383" s="17" t="n"/>
      <c r="AD383" s="17" t="n"/>
      <c r="AE383" s="17" t="n"/>
      <c r="AF383" s="17" t="n"/>
      <c r="AG383" s="17" t="n"/>
      <c r="AH383" s="17" t="n"/>
      <c r="AI383" s="17" t="n"/>
      <c r="AJ383" s="17" t="n"/>
    </row>
    <row r="384" ht="15.75" customHeight="1" s="4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/>
      <c r="Z384" s="17" t="n"/>
      <c r="AA384" s="17" t="n"/>
      <c r="AB384" s="17" t="n"/>
      <c r="AC384" s="17" t="n"/>
      <c r="AD384" s="17" t="n"/>
      <c r="AE384" s="17" t="n"/>
      <c r="AF384" s="17" t="n"/>
      <c r="AG384" s="17" t="n"/>
      <c r="AH384" s="17" t="n"/>
      <c r="AI384" s="17" t="n"/>
      <c r="AJ384" s="17" t="n"/>
    </row>
    <row r="385" ht="15.75" customHeight="1" s="44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/>
      <c r="Z385" s="17" t="n"/>
      <c r="AA385" s="17" t="n"/>
      <c r="AB385" s="17" t="n"/>
      <c r="AC385" s="17" t="n"/>
      <c r="AD385" s="17" t="n"/>
      <c r="AE385" s="17" t="n"/>
      <c r="AF385" s="17" t="n"/>
      <c r="AG385" s="17" t="n"/>
      <c r="AH385" s="17" t="n"/>
      <c r="AI385" s="17" t="n"/>
      <c r="AJ385" s="17" t="n"/>
    </row>
    <row r="386" ht="15.75" customHeight="1" s="44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/>
      <c r="Z386" s="17" t="n"/>
      <c r="AA386" s="17" t="n"/>
      <c r="AB386" s="17" t="n"/>
      <c r="AC386" s="17" t="n"/>
      <c r="AD386" s="17" t="n"/>
      <c r="AE386" s="17" t="n"/>
      <c r="AF386" s="17" t="n"/>
      <c r="AG386" s="17" t="n"/>
      <c r="AH386" s="17" t="n"/>
      <c r="AI386" s="17" t="n"/>
      <c r="AJ386" s="17" t="n"/>
    </row>
    <row r="387" ht="15.75" customHeight="1" s="44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/>
      <c r="Z387" s="17" t="n"/>
      <c r="AA387" s="17" t="n"/>
      <c r="AB387" s="17" t="n"/>
      <c r="AC387" s="17" t="n"/>
      <c r="AD387" s="17" t="n"/>
      <c r="AE387" s="17" t="n"/>
      <c r="AF387" s="17" t="n"/>
      <c r="AG387" s="17" t="n"/>
      <c r="AH387" s="17" t="n"/>
      <c r="AI387" s="17" t="n"/>
      <c r="AJ387" s="17" t="n"/>
    </row>
    <row r="388" ht="15.75" customHeight="1" s="44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/>
      <c r="Z388" s="17" t="n"/>
      <c r="AA388" s="17" t="n"/>
      <c r="AB388" s="17" t="n"/>
      <c r="AC388" s="17" t="n"/>
      <c r="AD388" s="17" t="n"/>
      <c r="AE388" s="17" t="n"/>
      <c r="AF388" s="17" t="n"/>
      <c r="AG388" s="17" t="n"/>
      <c r="AH388" s="17" t="n"/>
      <c r="AI388" s="17" t="n"/>
      <c r="AJ388" s="17" t="n"/>
    </row>
    <row r="389" ht="15.75" customHeight="1" s="44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7" t="n"/>
      <c r="Z389" s="17" t="n"/>
      <c r="AA389" s="17" t="n"/>
      <c r="AB389" s="17" t="n"/>
      <c r="AC389" s="17" t="n"/>
      <c r="AD389" s="17" t="n"/>
      <c r="AE389" s="17" t="n"/>
      <c r="AF389" s="17" t="n"/>
      <c r="AG389" s="17" t="n"/>
      <c r="AH389" s="17" t="n"/>
      <c r="AI389" s="17" t="n"/>
      <c r="AJ389" s="17" t="n"/>
    </row>
    <row r="390" ht="15.75" customHeight="1" s="44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/>
      <c r="Z390" s="17" t="n"/>
      <c r="AA390" s="17" t="n"/>
      <c r="AB390" s="17" t="n"/>
      <c r="AC390" s="17" t="n"/>
      <c r="AD390" s="17" t="n"/>
      <c r="AE390" s="17" t="n"/>
      <c r="AF390" s="17" t="n"/>
      <c r="AG390" s="17" t="n"/>
      <c r="AH390" s="17" t="n"/>
      <c r="AI390" s="17" t="n"/>
      <c r="AJ390" s="17" t="n"/>
    </row>
    <row r="391" ht="15.75" customHeight="1" s="44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/>
      <c r="Z391" s="17" t="n"/>
      <c r="AA391" s="17" t="n"/>
      <c r="AB391" s="17" t="n"/>
      <c r="AC391" s="17" t="n"/>
      <c r="AD391" s="17" t="n"/>
      <c r="AE391" s="17" t="n"/>
      <c r="AF391" s="17" t="n"/>
      <c r="AG391" s="17" t="n"/>
      <c r="AH391" s="17" t="n"/>
      <c r="AI391" s="17" t="n"/>
      <c r="AJ391" s="17" t="n"/>
    </row>
    <row r="392" ht="15.75" customHeight="1" s="44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/>
      <c r="Z392" s="17" t="n"/>
      <c r="AA392" s="17" t="n"/>
      <c r="AB392" s="17" t="n"/>
      <c r="AC392" s="17" t="n"/>
      <c r="AD392" s="17" t="n"/>
      <c r="AE392" s="17" t="n"/>
      <c r="AF392" s="17" t="n"/>
      <c r="AG392" s="17" t="n"/>
      <c r="AH392" s="17" t="n"/>
      <c r="AI392" s="17" t="n"/>
      <c r="AJ392" s="17" t="n"/>
    </row>
    <row r="393" ht="15.75" customHeight="1" s="44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/>
      <c r="Z393" s="17" t="n"/>
      <c r="AA393" s="17" t="n"/>
      <c r="AB393" s="17" t="n"/>
      <c r="AC393" s="17" t="n"/>
      <c r="AD393" s="17" t="n"/>
      <c r="AE393" s="17" t="n"/>
      <c r="AF393" s="17" t="n"/>
      <c r="AG393" s="17" t="n"/>
      <c r="AH393" s="17" t="n"/>
      <c r="AI393" s="17" t="n"/>
      <c r="AJ393" s="17" t="n"/>
    </row>
    <row r="394" ht="15.75" customHeight="1" s="4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/>
      <c r="Z394" s="17" t="n"/>
      <c r="AA394" s="17" t="n"/>
      <c r="AB394" s="17" t="n"/>
      <c r="AC394" s="17" t="n"/>
      <c r="AD394" s="17" t="n"/>
      <c r="AE394" s="17" t="n"/>
      <c r="AF394" s="17" t="n"/>
      <c r="AG394" s="17" t="n"/>
      <c r="AH394" s="17" t="n"/>
      <c r="AI394" s="17" t="n"/>
      <c r="AJ394" s="17" t="n"/>
    </row>
    <row r="395" ht="15.75" customHeight="1" s="44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/>
      <c r="Z395" s="17" t="n"/>
      <c r="AA395" s="17" t="n"/>
      <c r="AB395" s="17" t="n"/>
      <c r="AC395" s="17" t="n"/>
      <c r="AD395" s="17" t="n"/>
      <c r="AE395" s="17" t="n"/>
      <c r="AF395" s="17" t="n"/>
      <c r="AG395" s="17" t="n"/>
      <c r="AH395" s="17" t="n"/>
      <c r="AI395" s="17" t="n"/>
      <c r="AJ395" s="17" t="n"/>
    </row>
    <row r="396" ht="15.75" customHeight="1" s="44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7" t="n"/>
      <c r="Z396" s="17" t="n"/>
      <c r="AA396" s="17" t="n"/>
      <c r="AB396" s="17" t="n"/>
      <c r="AC396" s="17" t="n"/>
      <c r="AD396" s="17" t="n"/>
      <c r="AE396" s="17" t="n"/>
      <c r="AF396" s="17" t="n"/>
      <c r="AG396" s="17" t="n"/>
      <c r="AH396" s="17" t="n"/>
      <c r="AI396" s="17" t="n"/>
      <c r="AJ396" s="17" t="n"/>
    </row>
    <row r="397" ht="15.75" customHeight="1" s="44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/>
      <c r="Z397" s="17" t="n"/>
      <c r="AA397" s="17" t="n"/>
      <c r="AB397" s="17" t="n"/>
      <c r="AC397" s="17" t="n"/>
      <c r="AD397" s="17" t="n"/>
      <c r="AE397" s="17" t="n"/>
      <c r="AF397" s="17" t="n"/>
      <c r="AG397" s="17" t="n"/>
      <c r="AH397" s="17" t="n"/>
      <c r="AI397" s="17" t="n"/>
      <c r="AJ397" s="17" t="n"/>
    </row>
    <row r="398" ht="15.75" customHeight="1" s="44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/>
      <c r="Z398" s="17" t="n"/>
      <c r="AA398" s="17" t="n"/>
      <c r="AB398" s="17" t="n"/>
      <c r="AC398" s="17" t="n"/>
      <c r="AD398" s="17" t="n"/>
      <c r="AE398" s="17" t="n"/>
      <c r="AF398" s="17" t="n"/>
      <c r="AG398" s="17" t="n"/>
      <c r="AH398" s="17" t="n"/>
      <c r="AI398" s="17" t="n"/>
      <c r="AJ398" s="17" t="n"/>
    </row>
    <row r="399" ht="15.75" customHeight="1" s="44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/>
      <c r="Z399" s="17" t="n"/>
      <c r="AA399" s="17" t="n"/>
      <c r="AB399" s="17" t="n"/>
      <c r="AC399" s="17" t="n"/>
      <c r="AD399" s="17" t="n"/>
      <c r="AE399" s="17" t="n"/>
      <c r="AF399" s="17" t="n"/>
      <c r="AG399" s="17" t="n"/>
      <c r="AH399" s="17" t="n"/>
      <c r="AI399" s="17" t="n"/>
      <c r="AJ399" s="17" t="n"/>
    </row>
    <row r="400" ht="15.75" customHeight="1" s="44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/>
      <c r="Z400" s="17" t="n"/>
      <c r="AA400" s="17" t="n"/>
      <c r="AB400" s="17" t="n"/>
      <c r="AC400" s="17" t="n"/>
      <c r="AD400" s="17" t="n"/>
      <c r="AE400" s="17" t="n"/>
      <c r="AF400" s="17" t="n"/>
      <c r="AG400" s="17" t="n"/>
      <c r="AH400" s="17" t="n"/>
      <c r="AI400" s="17" t="n"/>
      <c r="AJ400" s="17" t="n"/>
    </row>
    <row r="401" ht="15.75" customHeight="1" s="44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7" t="n"/>
      <c r="Z401" s="17" t="n"/>
      <c r="AA401" s="17" t="n"/>
      <c r="AB401" s="17" t="n"/>
      <c r="AC401" s="17" t="n"/>
      <c r="AD401" s="17" t="n"/>
      <c r="AE401" s="17" t="n"/>
      <c r="AF401" s="17" t="n"/>
      <c r="AG401" s="17" t="n"/>
      <c r="AH401" s="17" t="n"/>
      <c r="AI401" s="17" t="n"/>
      <c r="AJ401" s="17" t="n"/>
    </row>
    <row r="402" ht="15.75" customHeight="1" s="44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/>
      <c r="Z402" s="17" t="n"/>
      <c r="AA402" s="17" t="n"/>
      <c r="AB402" s="17" t="n"/>
      <c r="AC402" s="17" t="n"/>
      <c r="AD402" s="17" t="n"/>
      <c r="AE402" s="17" t="n"/>
      <c r="AF402" s="17" t="n"/>
      <c r="AG402" s="17" t="n"/>
      <c r="AH402" s="17" t="n"/>
      <c r="AI402" s="17" t="n"/>
      <c r="AJ402" s="17" t="n"/>
    </row>
    <row r="403" ht="15.75" customHeight="1" s="44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7" t="n"/>
      <c r="AA403" s="17" t="n"/>
      <c r="AB403" s="17" t="n"/>
      <c r="AC403" s="17" t="n"/>
      <c r="AD403" s="17" t="n"/>
      <c r="AE403" s="17" t="n"/>
      <c r="AF403" s="17" t="n"/>
      <c r="AG403" s="17" t="n"/>
      <c r="AH403" s="17" t="n"/>
      <c r="AI403" s="17" t="n"/>
      <c r="AJ403" s="17" t="n"/>
    </row>
    <row r="404" ht="15.75" customHeight="1" s="4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/>
      <c r="Z404" s="17" t="n"/>
      <c r="AA404" s="17" t="n"/>
      <c r="AB404" s="17" t="n"/>
      <c r="AC404" s="17" t="n"/>
      <c r="AD404" s="17" t="n"/>
      <c r="AE404" s="17" t="n"/>
      <c r="AF404" s="17" t="n"/>
      <c r="AG404" s="17" t="n"/>
      <c r="AH404" s="17" t="n"/>
      <c r="AI404" s="17" t="n"/>
      <c r="AJ404" s="17" t="n"/>
    </row>
    <row r="405" ht="15.75" customHeight="1" s="44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/>
      <c r="Z405" s="17" t="n"/>
      <c r="AA405" s="17" t="n"/>
      <c r="AB405" s="17" t="n"/>
      <c r="AC405" s="17" t="n"/>
      <c r="AD405" s="17" t="n"/>
      <c r="AE405" s="17" t="n"/>
      <c r="AF405" s="17" t="n"/>
      <c r="AG405" s="17" t="n"/>
      <c r="AH405" s="17" t="n"/>
      <c r="AI405" s="17" t="n"/>
      <c r="AJ405" s="17" t="n"/>
    </row>
    <row r="406" ht="15.75" customHeight="1" s="44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/>
      <c r="Z406" s="17" t="n"/>
      <c r="AA406" s="17" t="n"/>
      <c r="AB406" s="17" t="n"/>
      <c r="AC406" s="17" t="n"/>
      <c r="AD406" s="17" t="n"/>
      <c r="AE406" s="17" t="n"/>
      <c r="AF406" s="17" t="n"/>
      <c r="AG406" s="17" t="n"/>
      <c r="AH406" s="17" t="n"/>
      <c r="AI406" s="17" t="n"/>
      <c r="AJ406" s="17" t="n"/>
    </row>
    <row r="407" ht="15.75" customHeight="1" s="44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7" t="n"/>
      <c r="Z407" s="17" t="n"/>
      <c r="AA407" s="17" t="n"/>
      <c r="AB407" s="17" t="n"/>
      <c r="AC407" s="17" t="n"/>
      <c r="AD407" s="17" t="n"/>
      <c r="AE407" s="17" t="n"/>
      <c r="AF407" s="17" t="n"/>
      <c r="AG407" s="17" t="n"/>
      <c r="AH407" s="17" t="n"/>
      <c r="AI407" s="17" t="n"/>
      <c r="AJ407" s="17" t="n"/>
    </row>
    <row r="408" ht="15.75" customHeight="1" s="44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7" t="n"/>
      <c r="Z408" s="17" t="n"/>
      <c r="AA408" s="17" t="n"/>
      <c r="AB408" s="17" t="n"/>
      <c r="AC408" s="17" t="n"/>
      <c r="AD408" s="17" t="n"/>
      <c r="AE408" s="17" t="n"/>
      <c r="AF408" s="17" t="n"/>
      <c r="AG408" s="17" t="n"/>
      <c r="AH408" s="17" t="n"/>
      <c r="AI408" s="17" t="n"/>
      <c r="AJ408" s="17" t="n"/>
    </row>
    <row r="409" ht="15.75" customHeight="1" s="44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/>
      <c r="Z409" s="17" t="n"/>
      <c r="AA409" s="17" t="n"/>
      <c r="AB409" s="17" t="n"/>
      <c r="AC409" s="17" t="n"/>
      <c r="AD409" s="17" t="n"/>
      <c r="AE409" s="17" t="n"/>
      <c r="AF409" s="17" t="n"/>
      <c r="AG409" s="17" t="n"/>
      <c r="AH409" s="17" t="n"/>
      <c r="AI409" s="17" t="n"/>
      <c r="AJ409" s="17" t="n"/>
    </row>
    <row r="410" ht="15.75" customHeight="1" s="44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/>
      <c r="Z410" s="17" t="n"/>
      <c r="AA410" s="17" t="n"/>
      <c r="AB410" s="17" t="n"/>
      <c r="AC410" s="17" t="n"/>
      <c r="AD410" s="17" t="n"/>
      <c r="AE410" s="17" t="n"/>
      <c r="AF410" s="17" t="n"/>
      <c r="AG410" s="17" t="n"/>
      <c r="AH410" s="17" t="n"/>
      <c r="AI410" s="17" t="n"/>
      <c r="AJ410" s="17" t="n"/>
    </row>
    <row r="411" ht="15.75" customHeight="1" s="44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7" t="n"/>
      <c r="Z411" s="17" t="n"/>
      <c r="AA411" s="17" t="n"/>
      <c r="AB411" s="17" t="n"/>
      <c r="AC411" s="17" t="n"/>
      <c r="AD411" s="17" t="n"/>
      <c r="AE411" s="17" t="n"/>
      <c r="AF411" s="17" t="n"/>
      <c r="AG411" s="17" t="n"/>
      <c r="AH411" s="17" t="n"/>
      <c r="AI411" s="17" t="n"/>
      <c r="AJ411" s="17" t="n"/>
    </row>
    <row r="412" ht="15.75" customHeight="1" s="44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/>
      <c r="Z412" s="17" t="n"/>
      <c r="AA412" s="17" t="n"/>
      <c r="AB412" s="17" t="n"/>
      <c r="AC412" s="17" t="n"/>
      <c r="AD412" s="17" t="n"/>
      <c r="AE412" s="17" t="n"/>
      <c r="AF412" s="17" t="n"/>
      <c r="AG412" s="17" t="n"/>
      <c r="AH412" s="17" t="n"/>
      <c r="AI412" s="17" t="n"/>
      <c r="AJ412" s="17" t="n"/>
    </row>
    <row r="413" ht="15.75" customHeight="1" s="44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/>
      <c r="Z413" s="17" t="n"/>
      <c r="AA413" s="17" t="n"/>
      <c r="AB413" s="17" t="n"/>
      <c r="AC413" s="17" t="n"/>
      <c r="AD413" s="17" t="n"/>
      <c r="AE413" s="17" t="n"/>
      <c r="AF413" s="17" t="n"/>
      <c r="AG413" s="17" t="n"/>
      <c r="AH413" s="17" t="n"/>
      <c r="AI413" s="17" t="n"/>
      <c r="AJ413" s="17" t="n"/>
    </row>
    <row r="414" ht="15.75" customHeight="1" s="4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/>
      <c r="Z414" s="17" t="n"/>
      <c r="AA414" s="17" t="n"/>
      <c r="AB414" s="17" t="n"/>
      <c r="AC414" s="17" t="n"/>
      <c r="AD414" s="17" t="n"/>
      <c r="AE414" s="17" t="n"/>
      <c r="AF414" s="17" t="n"/>
      <c r="AG414" s="17" t="n"/>
      <c r="AH414" s="17" t="n"/>
      <c r="AI414" s="17" t="n"/>
      <c r="AJ414" s="17" t="n"/>
    </row>
    <row r="415" ht="15.75" customHeight="1" s="44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/>
      <c r="Z415" s="17" t="n"/>
      <c r="AA415" s="17" t="n"/>
      <c r="AB415" s="17" t="n"/>
      <c r="AC415" s="17" t="n"/>
      <c r="AD415" s="17" t="n"/>
      <c r="AE415" s="17" t="n"/>
      <c r="AF415" s="17" t="n"/>
      <c r="AG415" s="17" t="n"/>
      <c r="AH415" s="17" t="n"/>
      <c r="AI415" s="17" t="n"/>
      <c r="AJ415" s="17" t="n"/>
    </row>
    <row r="416" ht="15.75" customHeight="1" s="44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7" t="n"/>
      <c r="AA416" s="17" t="n"/>
      <c r="AB416" s="17" t="n"/>
      <c r="AC416" s="17" t="n"/>
      <c r="AD416" s="17" t="n"/>
      <c r="AE416" s="17" t="n"/>
      <c r="AF416" s="17" t="n"/>
      <c r="AG416" s="17" t="n"/>
      <c r="AH416" s="17" t="n"/>
      <c r="AI416" s="17" t="n"/>
      <c r="AJ416" s="17" t="n"/>
    </row>
    <row r="417" ht="15.75" customHeight="1" s="44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  <c r="AA417" s="17" t="n"/>
      <c r="AB417" s="17" t="n"/>
      <c r="AC417" s="17" t="n"/>
      <c r="AD417" s="17" t="n"/>
      <c r="AE417" s="17" t="n"/>
      <c r="AF417" s="17" t="n"/>
      <c r="AG417" s="17" t="n"/>
      <c r="AH417" s="17" t="n"/>
      <c r="AI417" s="17" t="n"/>
      <c r="AJ417" s="17" t="n"/>
    </row>
    <row r="418" ht="15.75" customHeight="1" s="44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7" t="n"/>
      <c r="AA418" s="17" t="n"/>
      <c r="AB418" s="17" t="n"/>
      <c r="AC418" s="17" t="n"/>
      <c r="AD418" s="17" t="n"/>
      <c r="AE418" s="17" t="n"/>
      <c r="AF418" s="17" t="n"/>
      <c r="AG418" s="17" t="n"/>
      <c r="AH418" s="17" t="n"/>
      <c r="AI418" s="17" t="n"/>
      <c r="AJ418" s="17" t="n"/>
    </row>
    <row r="419" ht="15.75" customHeight="1" s="44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/>
      <c r="Z419" s="17" t="n"/>
      <c r="AA419" s="17" t="n"/>
      <c r="AB419" s="17" t="n"/>
      <c r="AC419" s="17" t="n"/>
      <c r="AD419" s="17" t="n"/>
      <c r="AE419" s="17" t="n"/>
      <c r="AF419" s="17" t="n"/>
      <c r="AG419" s="17" t="n"/>
      <c r="AH419" s="17" t="n"/>
      <c r="AI419" s="17" t="n"/>
      <c r="AJ419" s="17" t="n"/>
    </row>
    <row r="420" ht="15.75" customHeight="1" s="44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/>
      <c r="Z420" s="17" t="n"/>
      <c r="AA420" s="17" t="n"/>
      <c r="AB420" s="17" t="n"/>
      <c r="AC420" s="17" t="n"/>
      <c r="AD420" s="17" t="n"/>
      <c r="AE420" s="17" t="n"/>
      <c r="AF420" s="17" t="n"/>
      <c r="AG420" s="17" t="n"/>
      <c r="AH420" s="17" t="n"/>
      <c r="AI420" s="17" t="n"/>
      <c r="AJ420" s="17" t="n"/>
    </row>
    <row r="421" ht="15.75" customHeight="1" s="44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7" t="n"/>
      <c r="Z421" s="17" t="n"/>
      <c r="AA421" s="17" t="n"/>
      <c r="AB421" s="17" t="n"/>
      <c r="AC421" s="17" t="n"/>
      <c r="AD421" s="17" t="n"/>
      <c r="AE421" s="17" t="n"/>
      <c r="AF421" s="17" t="n"/>
      <c r="AG421" s="17" t="n"/>
      <c r="AH421" s="17" t="n"/>
      <c r="AI421" s="17" t="n"/>
      <c r="AJ421" s="17" t="n"/>
    </row>
    <row r="422" ht="15.75" customHeight="1" s="44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7" t="n"/>
      <c r="Z422" s="17" t="n"/>
      <c r="AA422" s="17" t="n"/>
      <c r="AB422" s="17" t="n"/>
      <c r="AC422" s="17" t="n"/>
      <c r="AD422" s="17" t="n"/>
      <c r="AE422" s="17" t="n"/>
      <c r="AF422" s="17" t="n"/>
      <c r="AG422" s="17" t="n"/>
      <c r="AH422" s="17" t="n"/>
      <c r="AI422" s="17" t="n"/>
      <c r="AJ422" s="17" t="n"/>
    </row>
    <row r="423" ht="15.75" customHeight="1" s="44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/>
      <c r="Z423" s="17" t="n"/>
      <c r="AA423" s="17" t="n"/>
      <c r="AB423" s="17" t="n"/>
      <c r="AC423" s="17" t="n"/>
      <c r="AD423" s="17" t="n"/>
      <c r="AE423" s="17" t="n"/>
      <c r="AF423" s="17" t="n"/>
      <c r="AG423" s="17" t="n"/>
      <c r="AH423" s="17" t="n"/>
      <c r="AI423" s="17" t="n"/>
      <c r="AJ423" s="17" t="n"/>
    </row>
    <row r="424" ht="15.75" customHeight="1" s="4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/>
      <c r="Z424" s="17" t="n"/>
      <c r="AA424" s="17" t="n"/>
      <c r="AB424" s="17" t="n"/>
      <c r="AC424" s="17" t="n"/>
      <c r="AD424" s="17" t="n"/>
      <c r="AE424" s="17" t="n"/>
      <c r="AF424" s="17" t="n"/>
      <c r="AG424" s="17" t="n"/>
      <c r="AH424" s="17" t="n"/>
      <c r="AI424" s="17" t="n"/>
      <c r="AJ424" s="17" t="n"/>
    </row>
    <row r="425" ht="15.75" customHeight="1" s="44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/>
      <c r="Z425" s="17" t="n"/>
      <c r="AA425" s="17" t="n"/>
      <c r="AB425" s="17" t="n"/>
      <c r="AC425" s="17" t="n"/>
      <c r="AD425" s="17" t="n"/>
      <c r="AE425" s="17" t="n"/>
      <c r="AF425" s="17" t="n"/>
      <c r="AG425" s="17" t="n"/>
      <c r="AH425" s="17" t="n"/>
      <c r="AI425" s="17" t="n"/>
      <c r="AJ425" s="17" t="n"/>
    </row>
    <row r="426" ht="15.75" customHeight="1" s="44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7" t="n"/>
      <c r="Z426" s="17" t="n"/>
      <c r="AA426" s="17" t="n"/>
      <c r="AB426" s="17" t="n"/>
      <c r="AC426" s="17" t="n"/>
      <c r="AD426" s="17" t="n"/>
      <c r="AE426" s="17" t="n"/>
      <c r="AF426" s="17" t="n"/>
      <c r="AG426" s="17" t="n"/>
      <c r="AH426" s="17" t="n"/>
      <c r="AI426" s="17" t="n"/>
      <c r="AJ426" s="17" t="n"/>
    </row>
    <row r="427" ht="15.75" customHeight="1" s="44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/>
      <c r="Z427" s="17" t="n"/>
      <c r="AA427" s="17" t="n"/>
      <c r="AB427" s="17" t="n"/>
      <c r="AC427" s="17" t="n"/>
      <c r="AD427" s="17" t="n"/>
      <c r="AE427" s="17" t="n"/>
      <c r="AF427" s="17" t="n"/>
      <c r="AG427" s="17" t="n"/>
      <c r="AH427" s="17" t="n"/>
      <c r="AI427" s="17" t="n"/>
      <c r="AJ427" s="17" t="n"/>
    </row>
    <row r="428" ht="15.75" customHeight="1" s="44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/>
      <c r="Z428" s="17" t="n"/>
      <c r="AA428" s="17" t="n"/>
      <c r="AB428" s="17" t="n"/>
      <c r="AC428" s="17" t="n"/>
      <c r="AD428" s="17" t="n"/>
      <c r="AE428" s="17" t="n"/>
      <c r="AF428" s="17" t="n"/>
      <c r="AG428" s="17" t="n"/>
      <c r="AH428" s="17" t="n"/>
      <c r="AI428" s="17" t="n"/>
      <c r="AJ428" s="17" t="n"/>
    </row>
    <row r="429" ht="15.75" customHeight="1" s="44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7" t="n"/>
      <c r="Z429" s="17" t="n"/>
      <c r="AA429" s="17" t="n"/>
      <c r="AB429" s="17" t="n"/>
      <c r="AC429" s="17" t="n"/>
      <c r="AD429" s="17" t="n"/>
      <c r="AE429" s="17" t="n"/>
      <c r="AF429" s="17" t="n"/>
      <c r="AG429" s="17" t="n"/>
      <c r="AH429" s="17" t="n"/>
      <c r="AI429" s="17" t="n"/>
      <c r="AJ429" s="17" t="n"/>
    </row>
    <row r="430" ht="15.75" customHeight="1" s="44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/>
      <c r="Z430" s="17" t="n"/>
      <c r="AA430" s="17" t="n"/>
      <c r="AB430" s="17" t="n"/>
      <c r="AC430" s="17" t="n"/>
      <c r="AD430" s="17" t="n"/>
      <c r="AE430" s="17" t="n"/>
      <c r="AF430" s="17" t="n"/>
      <c r="AG430" s="17" t="n"/>
      <c r="AH430" s="17" t="n"/>
      <c r="AI430" s="17" t="n"/>
      <c r="AJ430" s="17" t="n"/>
    </row>
    <row r="431" ht="15.75" customHeight="1" s="44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7" t="n"/>
      <c r="AA431" s="17" t="n"/>
      <c r="AB431" s="17" t="n"/>
      <c r="AC431" s="17" t="n"/>
      <c r="AD431" s="17" t="n"/>
      <c r="AE431" s="17" t="n"/>
      <c r="AF431" s="17" t="n"/>
      <c r="AG431" s="17" t="n"/>
      <c r="AH431" s="17" t="n"/>
      <c r="AI431" s="17" t="n"/>
      <c r="AJ431" s="17" t="n"/>
    </row>
    <row r="432" ht="15.75" customHeight="1" s="44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/>
      <c r="Z432" s="17" t="n"/>
      <c r="AA432" s="17" t="n"/>
      <c r="AB432" s="17" t="n"/>
      <c r="AC432" s="17" t="n"/>
      <c r="AD432" s="17" t="n"/>
      <c r="AE432" s="17" t="n"/>
      <c r="AF432" s="17" t="n"/>
      <c r="AG432" s="17" t="n"/>
      <c r="AH432" s="17" t="n"/>
      <c r="AI432" s="17" t="n"/>
      <c r="AJ432" s="17" t="n"/>
    </row>
    <row r="433" ht="15.75" customHeight="1" s="44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/>
      <c r="Z433" s="17" t="n"/>
      <c r="AA433" s="17" t="n"/>
      <c r="AB433" s="17" t="n"/>
      <c r="AC433" s="17" t="n"/>
      <c r="AD433" s="17" t="n"/>
      <c r="AE433" s="17" t="n"/>
      <c r="AF433" s="17" t="n"/>
      <c r="AG433" s="17" t="n"/>
      <c r="AH433" s="17" t="n"/>
      <c r="AI433" s="17" t="n"/>
      <c r="AJ433" s="17" t="n"/>
    </row>
    <row r="434" ht="15.75" customHeight="1" s="4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/>
      <c r="Z434" s="17" t="n"/>
      <c r="AA434" s="17" t="n"/>
      <c r="AB434" s="17" t="n"/>
      <c r="AC434" s="17" t="n"/>
      <c r="AD434" s="17" t="n"/>
      <c r="AE434" s="17" t="n"/>
      <c r="AF434" s="17" t="n"/>
      <c r="AG434" s="17" t="n"/>
      <c r="AH434" s="17" t="n"/>
      <c r="AI434" s="17" t="n"/>
      <c r="AJ434" s="17" t="n"/>
    </row>
    <row r="435" ht="15.75" customHeight="1" s="44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7" t="n"/>
      <c r="Z435" s="17" t="n"/>
      <c r="AA435" s="17" t="n"/>
      <c r="AB435" s="17" t="n"/>
      <c r="AC435" s="17" t="n"/>
      <c r="AD435" s="17" t="n"/>
      <c r="AE435" s="17" t="n"/>
      <c r="AF435" s="17" t="n"/>
      <c r="AG435" s="17" t="n"/>
      <c r="AH435" s="17" t="n"/>
      <c r="AI435" s="17" t="n"/>
      <c r="AJ435" s="17" t="n"/>
    </row>
    <row r="436" ht="15.75" customHeight="1" s="44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/>
      <c r="Z436" s="17" t="n"/>
      <c r="AA436" s="17" t="n"/>
      <c r="AB436" s="17" t="n"/>
      <c r="AC436" s="17" t="n"/>
      <c r="AD436" s="17" t="n"/>
      <c r="AE436" s="17" t="n"/>
      <c r="AF436" s="17" t="n"/>
      <c r="AG436" s="17" t="n"/>
      <c r="AH436" s="17" t="n"/>
      <c r="AI436" s="17" t="n"/>
      <c r="AJ436" s="17" t="n"/>
    </row>
    <row r="437" ht="15.75" customHeight="1" s="44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/>
      <c r="Z437" s="17" t="n"/>
      <c r="AA437" s="17" t="n"/>
      <c r="AB437" s="17" t="n"/>
      <c r="AC437" s="17" t="n"/>
      <c r="AD437" s="17" t="n"/>
      <c r="AE437" s="17" t="n"/>
      <c r="AF437" s="17" t="n"/>
      <c r="AG437" s="17" t="n"/>
      <c r="AH437" s="17" t="n"/>
      <c r="AI437" s="17" t="n"/>
      <c r="AJ437" s="17" t="n"/>
    </row>
    <row r="438" ht="15.75" customHeight="1" s="44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/>
      <c r="Z438" s="17" t="n"/>
      <c r="AA438" s="17" t="n"/>
      <c r="AB438" s="17" t="n"/>
      <c r="AC438" s="17" t="n"/>
      <c r="AD438" s="17" t="n"/>
      <c r="AE438" s="17" t="n"/>
      <c r="AF438" s="17" t="n"/>
      <c r="AG438" s="17" t="n"/>
      <c r="AH438" s="17" t="n"/>
      <c r="AI438" s="17" t="n"/>
      <c r="AJ438" s="17" t="n"/>
    </row>
    <row r="439" ht="15.75" customHeight="1" s="44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/>
      <c r="Z439" s="17" t="n"/>
      <c r="AA439" s="17" t="n"/>
      <c r="AB439" s="17" t="n"/>
      <c r="AC439" s="17" t="n"/>
      <c r="AD439" s="17" t="n"/>
      <c r="AE439" s="17" t="n"/>
      <c r="AF439" s="17" t="n"/>
      <c r="AG439" s="17" t="n"/>
      <c r="AH439" s="17" t="n"/>
      <c r="AI439" s="17" t="n"/>
      <c r="AJ439" s="17" t="n"/>
    </row>
    <row r="440" ht="15.75" customHeight="1" s="44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7" t="n"/>
      <c r="Z440" s="17" t="n"/>
      <c r="AA440" s="17" t="n"/>
      <c r="AB440" s="17" t="n"/>
      <c r="AC440" s="17" t="n"/>
      <c r="AD440" s="17" t="n"/>
      <c r="AE440" s="17" t="n"/>
      <c r="AF440" s="17" t="n"/>
      <c r="AG440" s="17" t="n"/>
      <c r="AH440" s="17" t="n"/>
      <c r="AI440" s="17" t="n"/>
      <c r="AJ440" s="17" t="n"/>
    </row>
    <row r="441" ht="15.75" customHeight="1" s="44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7" t="n"/>
      <c r="Z441" s="17" t="n"/>
      <c r="AA441" s="17" t="n"/>
      <c r="AB441" s="17" t="n"/>
      <c r="AC441" s="17" t="n"/>
      <c r="AD441" s="17" t="n"/>
      <c r="AE441" s="17" t="n"/>
      <c r="AF441" s="17" t="n"/>
      <c r="AG441" s="17" t="n"/>
      <c r="AH441" s="17" t="n"/>
      <c r="AI441" s="17" t="n"/>
      <c r="AJ441" s="17" t="n"/>
    </row>
    <row r="442" ht="15.75" customHeight="1" s="44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/>
      <c r="Z442" s="17" t="n"/>
      <c r="AA442" s="17" t="n"/>
      <c r="AB442" s="17" t="n"/>
      <c r="AC442" s="17" t="n"/>
      <c r="AD442" s="17" t="n"/>
      <c r="AE442" s="17" t="n"/>
      <c r="AF442" s="17" t="n"/>
      <c r="AG442" s="17" t="n"/>
      <c r="AH442" s="17" t="n"/>
      <c r="AI442" s="17" t="n"/>
      <c r="AJ442" s="17" t="n"/>
    </row>
    <row r="443" ht="15.75" customHeight="1" s="44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/>
      <c r="Z443" s="17" t="n"/>
      <c r="AA443" s="17" t="n"/>
      <c r="AB443" s="17" t="n"/>
      <c r="AC443" s="17" t="n"/>
      <c r="AD443" s="17" t="n"/>
      <c r="AE443" s="17" t="n"/>
      <c r="AF443" s="17" t="n"/>
      <c r="AG443" s="17" t="n"/>
      <c r="AH443" s="17" t="n"/>
      <c r="AI443" s="17" t="n"/>
      <c r="AJ443" s="17" t="n"/>
    </row>
    <row r="444" ht="15.75" customHeight="1" s="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7" t="n"/>
      <c r="Z444" s="17" t="n"/>
      <c r="AA444" s="17" t="n"/>
      <c r="AB444" s="17" t="n"/>
      <c r="AC444" s="17" t="n"/>
      <c r="AD444" s="17" t="n"/>
      <c r="AE444" s="17" t="n"/>
      <c r="AF444" s="17" t="n"/>
      <c r="AG444" s="17" t="n"/>
      <c r="AH444" s="17" t="n"/>
      <c r="AI444" s="17" t="n"/>
      <c r="AJ444" s="17" t="n"/>
    </row>
    <row r="445" ht="15.75" customHeight="1" s="44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7" t="n"/>
      <c r="AA445" s="17" t="n"/>
      <c r="AB445" s="17" t="n"/>
      <c r="AC445" s="17" t="n"/>
      <c r="AD445" s="17" t="n"/>
      <c r="AE445" s="17" t="n"/>
      <c r="AF445" s="17" t="n"/>
      <c r="AG445" s="17" t="n"/>
      <c r="AH445" s="17" t="n"/>
      <c r="AI445" s="17" t="n"/>
      <c r="AJ445" s="17" t="n"/>
    </row>
    <row r="446" ht="15.75" customHeight="1" s="44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/>
      <c r="Z446" s="17" t="n"/>
      <c r="AA446" s="17" t="n"/>
      <c r="AB446" s="17" t="n"/>
      <c r="AC446" s="17" t="n"/>
      <c r="AD446" s="17" t="n"/>
      <c r="AE446" s="17" t="n"/>
      <c r="AF446" s="17" t="n"/>
      <c r="AG446" s="17" t="n"/>
      <c r="AH446" s="17" t="n"/>
      <c r="AI446" s="17" t="n"/>
      <c r="AJ446" s="17" t="n"/>
    </row>
    <row r="447" ht="15.75" customHeight="1" s="44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/>
      <c r="Z447" s="17" t="n"/>
      <c r="AA447" s="17" t="n"/>
      <c r="AB447" s="17" t="n"/>
      <c r="AC447" s="17" t="n"/>
      <c r="AD447" s="17" t="n"/>
      <c r="AE447" s="17" t="n"/>
      <c r="AF447" s="17" t="n"/>
      <c r="AG447" s="17" t="n"/>
      <c r="AH447" s="17" t="n"/>
      <c r="AI447" s="17" t="n"/>
      <c r="AJ447" s="17" t="n"/>
    </row>
    <row r="448" ht="15.75" customHeight="1" s="44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/>
      <c r="Z448" s="17" t="n"/>
      <c r="AA448" s="17" t="n"/>
      <c r="AB448" s="17" t="n"/>
      <c r="AC448" s="17" t="n"/>
      <c r="AD448" s="17" t="n"/>
      <c r="AE448" s="17" t="n"/>
      <c r="AF448" s="17" t="n"/>
      <c r="AG448" s="17" t="n"/>
      <c r="AH448" s="17" t="n"/>
      <c r="AI448" s="17" t="n"/>
      <c r="AJ448" s="17" t="n"/>
    </row>
    <row r="449" ht="15.75" customHeight="1" s="44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/>
      <c r="Z449" s="17" t="n"/>
      <c r="AA449" s="17" t="n"/>
      <c r="AB449" s="17" t="n"/>
      <c r="AC449" s="17" t="n"/>
      <c r="AD449" s="17" t="n"/>
      <c r="AE449" s="17" t="n"/>
      <c r="AF449" s="17" t="n"/>
      <c r="AG449" s="17" t="n"/>
      <c r="AH449" s="17" t="n"/>
      <c r="AI449" s="17" t="n"/>
      <c r="AJ449" s="17" t="n"/>
    </row>
    <row r="450" ht="15.75" customHeight="1" s="44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7" t="n"/>
      <c r="Z450" s="17" t="n"/>
      <c r="AA450" s="17" t="n"/>
      <c r="AB450" s="17" t="n"/>
      <c r="AC450" s="17" t="n"/>
      <c r="AD450" s="17" t="n"/>
      <c r="AE450" s="17" t="n"/>
      <c r="AF450" s="17" t="n"/>
      <c r="AG450" s="17" t="n"/>
      <c r="AH450" s="17" t="n"/>
      <c r="AI450" s="17" t="n"/>
      <c r="AJ450" s="17" t="n"/>
    </row>
    <row r="451" ht="15.75" customHeight="1" s="44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/>
      <c r="Z451" s="17" t="n"/>
      <c r="AA451" s="17" t="n"/>
      <c r="AB451" s="17" t="n"/>
      <c r="AC451" s="17" t="n"/>
      <c r="AD451" s="17" t="n"/>
      <c r="AE451" s="17" t="n"/>
      <c r="AF451" s="17" t="n"/>
      <c r="AG451" s="17" t="n"/>
      <c r="AH451" s="17" t="n"/>
      <c r="AI451" s="17" t="n"/>
      <c r="AJ451" s="17" t="n"/>
    </row>
    <row r="452" ht="15.75" customHeight="1" s="44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/>
      <c r="Z452" s="17" t="n"/>
      <c r="AA452" s="17" t="n"/>
      <c r="AB452" s="17" t="n"/>
      <c r="AC452" s="17" t="n"/>
      <c r="AD452" s="17" t="n"/>
      <c r="AE452" s="17" t="n"/>
      <c r="AF452" s="17" t="n"/>
      <c r="AG452" s="17" t="n"/>
      <c r="AH452" s="17" t="n"/>
      <c r="AI452" s="17" t="n"/>
      <c r="AJ452" s="17" t="n"/>
    </row>
    <row r="453" ht="15.75" customHeight="1" s="44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7" t="n"/>
      <c r="AA453" s="17" t="n"/>
      <c r="AB453" s="17" t="n"/>
      <c r="AC453" s="17" t="n"/>
      <c r="AD453" s="17" t="n"/>
      <c r="AE453" s="17" t="n"/>
      <c r="AF453" s="17" t="n"/>
      <c r="AG453" s="17" t="n"/>
      <c r="AH453" s="17" t="n"/>
      <c r="AI453" s="17" t="n"/>
      <c r="AJ453" s="17" t="n"/>
    </row>
    <row r="454" ht="15.75" customHeight="1" s="4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/>
      <c r="Z454" s="17" t="n"/>
      <c r="AA454" s="17" t="n"/>
      <c r="AB454" s="17" t="n"/>
      <c r="AC454" s="17" t="n"/>
      <c r="AD454" s="17" t="n"/>
      <c r="AE454" s="17" t="n"/>
      <c r="AF454" s="17" t="n"/>
      <c r="AG454" s="17" t="n"/>
      <c r="AH454" s="17" t="n"/>
      <c r="AI454" s="17" t="n"/>
      <c r="AJ454" s="17" t="n"/>
    </row>
    <row r="455" ht="15.75" customHeight="1" s="44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/>
      <c r="Z455" s="17" t="n"/>
      <c r="AA455" s="17" t="n"/>
      <c r="AB455" s="17" t="n"/>
      <c r="AC455" s="17" t="n"/>
      <c r="AD455" s="17" t="n"/>
      <c r="AE455" s="17" t="n"/>
      <c r="AF455" s="17" t="n"/>
      <c r="AG455" s="17" t="n"/>
      <c r="AH455" s="17" t="n"/>
      <c r="AI455" s="17" t="n"/>
      <c r="AJ455" s="17" t="n"/>
    </row>
    <row r="456" ht="15.75" customHeight="1" s="44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/>
      <c r="Z456" s="17" t="n"/>
      <c r="AA456" s="17" t="n"/>
      <c r="AB456" s="17" t="n"/>
      <c r="AC456" s="17" t="n"/>
      <c r="AD456" s="17" t="n"/>
      <c r="AE456" s="17" t="n"/>
      <c r="AF456" s="17" t="n"/>
      <c r="AG456" s="17" t="n"/>
      <c r="AH456" s="17" t="n"/>
      <c r="AI456" s="17" t="n"/>
      <c r="AJ456" s="17" t="n"/>
    </row>
    <row r="457" ht="15.75" customHeight="1" s="44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7" t="n"/>
      <c r="Z457" s="17" t="n"/>
      <c r="AA457" s="17" t="n"/>
      <c r="AB457" s="17" t="n"/>
      <c r="AC457" s="17" t="n"/>
      <c r="AD457" s="17" t="n"/>
      <c r="AE457" s="17" t="n"/>
      <c r="AF457" s="17" t="n"/>
      <c r="AG457" s="17" t="n"/>
      <c r="AH457" s="17" t="n"/>
      <c r="AI457" s="17" t="n"/>
      <c r="AJ457" s="17" t="n"/>
    </row>
    <row r="458" ht="15.75" customHeight="1" s="44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7" t="n"/>
      <c r="Z458" s="17" t="n"/>
      <c r="AA458" s="17" t="n"/>
      <c r="AB458" s="17" t="n"/>
      <c r="AC458" s="17" t="n"/>
      <c r="AD458" s="17" t="n"/>
      <c r="AE458" s="17" t="n"/>
      <c r="AF458" s="17" t="n"/>
      <c r="AG458" s="17" t="n"/>
      <c r="AH458" s="17" t="n"/>
      <c r="AI458" s="17" t="n"/>
      <c r="AJ458" s="17" t="n"/>
    </row>
    <row r="459" ht="15.75" customHeight="1" s="44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7" t="n"/>
      <c r="Z459" s="17" t="n"/>
      <c r="AA459" s="17" t="n"/>
      <c r="AB459" s="17" t="n"/>
      <c r="AC459" s="17" t="n"/>
      <c r="AD459" s="17" t="n"/>
      <c r="AE459" s="17" t="n"/>
      <c r="AF459" s="17" t="n"/>
      <c r="AG459" s="17" t="n"/>
      <c r="AH459" s="17" t="n"/>
      <c r="AI459" s="17" t="n"/>
      <c r="AJ459" s="17" t="n"/>
    </row>
    <row r="460" ht="15.75" customHeight="1" s="44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7" t="n"/>
      <c r="AA460" s="17" t="n"/>
      <c r="AB460" s="17" t="n"/>
      <c r="AC460" s="17" t="n"/>
      <c r="AD460" s="17" t="n"/>
      <c r="AE460" s="17" t="n"/>
      <c r="AF460" s="17" t="n"/>
      <c r="AG460" s="17" t="n"/>
      <c r="AH460" s="17" t="n"/>
      <c r="AI460" s="17" t="n"/>
      <c r="AJ460" s="17" t="n"/>
    </row>
    <row r="461" ht="15.75" customHeight="1" s="44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/>
      <c r="Z461" s="17" t="n"/>
      <c r="AA461" s="17" t="n"/>
      <c r="AB461" s="17" t="n"/>
      <c r="AC461" s="17" t="n"/>
      <c r="AD461" s="17" t="n"/>
      <c r="AE461" s="17" t="n"/>
      <c r="AF461" s="17" t="n"/>
      <c r="AG461" s="17" t="n"/>
      <c r="AH461" s="17" t="n"/>
      <c r="AI461" s="17" t="n"/>
      <c r="AJ461" s="17" t="n"/>
    </row>
    <row r="462" ht="15.75" customHeight="1" s="44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7" t="n"/>
      <c r="AA462" s="17" t="n"/>
      <c r="AB462" s="17" t="n"/>
      <c r="AC462" s="17" t="n"/>
      <c r="AD462" s="17" t="n"/>
      <c r="AE462" s="17" t="n"/>
      <c r="AF462" s="17" t="n"/>
      <c r="AG462" s="17" t="n"/>
      <c r="AH462" s="17" t="n"/>
      <c r="AI462" s="17" t="n"/>
      <c r="AJ462" s="17" t="n"/>
    </row>
    <row r="463" ht="15.75" customHeight="1" s="44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7" t="n"/>
      <c r="AA463" s="17" t="n"/>
      <c r="AB463" s="17" t="n"/>
      <c r="AC463" s="17" t="n"/>
      <c r="AD463" s="17" t="n"/>
      <c r="AE463" s="17" t="n"/>
      <c r="AF463" s="17" t="n"/>
      <c r="AG463" s="17" t="n"/>
      <c r="AH463" s="17" t="n"/>
      <c r="AI463" s="17" t="n"/>
      <c r="AJ463" s="17" t="n"/>
    </row>
    <row r="464" ht="15.75" customHeight="1" s="4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/>
      <c r="Z464" s="17" t="n"/>
      <c r="AA464" s="17" t="n"/>
      <c r="AB464" s="17" t="n"/>
      <c r="AC464" s="17" t="n"/>
      <c r="AD464" s="17" t="n"/>
      <c r="AE464" s="17" t="n"/>
      <c r="AF464" s="17" t="n"/>
      <c r="AG464" s="17" t="n"/>
      <c r="AH464" s="17" t="n"/>
      <c r="AI464" s="17" t="n"/>
      <c r="AJ464" s="17" t="n"/>
    </row>
    <row r="465" ht="15.75" customHeight="1" s="44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/>
      <c r="Z465" s="17" t="n"/>
      <c r="AA465" s="17" t="n"/>
      <c r="AB465" s="17" t="n"/>
      <c r="AC465" s="17" t="n"/>
      <c r="AD465" s="17" t="n"/>
      <c r="AE465" s="17" t="n"/>
      <c r="AF465" s="17" t="n"/>
      <c r="AG465" s="17" t="n"/>
      <c r="AH465" s="17" t="n"/>
      <c r="AI465" s="17" t="n"/>
      <c r="AJ465" s="17" t="n"/>
    </row>
    <row r="466" ht="15.75" customHeight="1" s="44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/>
      <c r="Z466" s="17" t="n"/>
      <c r="AA466" s="17" t="n"/>
      <c r="AB466" s="17" t="n"/>
      <c r="AC466" s="17" t="n"/>
      <c r="AD466" s="17" t="n"/>
      <c r="AE466" s="17" t="n"/>
      <c r="AF466" s="17" t="n"/>
      <c r="AG466" s="17" t="n"/>
      <c r="AH466" s="17" t="n"/>
      <c r="AI466" s="17" t="n"/>
      <c r="AJ466" s="17" t="n"/>
    </row>
    <row r="467" ht="15.75" customHeight="1" s="44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/>
      <c r="Z467" s="17" t="n"/>
      <c r="AA467" s="17" t="n"/>
      <c r="AB467" s="17" t="n"/>
      <c r="AC467" s="17" t="n"/>
      <c r="AD467" s="17" t="n"/>
      <c r="AE467" s="17" t="n"/>
      <c r="AF467" s="17" t="n"/>
      <c r="AG467" s="17" t="n"/>
      <c r="AH467" s="17" t="n"/>
      <c r="AI467" s="17" t="n"/>
      <c r="AJ467" s="17" t="n"/>
    </row>
    <row r="468" ht="15.75" customHeight="1" s="44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/>
      <c r="Z468" s="17" t="n"/>
      <c r="AA468" s="17" t="n"/>
      <c r="AB468" s="17" t="n"/>
      <c r="AC468" s="17" t="n"/>
      <c r="AD468" s="17" t="n"/>
      <c r="AE468" s="17" t="n"/>
      <c r="AF468" s="17" t="n"/>
      <c r="AG468" s="17" t="n"/>
      <c r="AH468" s="17" t="n"/>
      <c r="AI468" s="17" t="n"/>
      <c r="AJ468" s="17" t="n"/>
    </row>
    <row r="469" ht="15.75" customHeight="1" s="44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/>
      <c r="Z469" s="17" t="n"/>
      <c r="AA469" s="17" t="n"/>
      <c r="AB469" s="17" t="n"/>
      <c r="AC469" s="17" t="n"/>
      <c r="AD469" s="17" t="n"/>
      <c r="AE469" s="17" t="n"/>
      <c r="AF469" s="17" t="n"/>
      <c r="AG469" s="17" t="n"/>
      <c r="AH469" s="17" t="n"/>
      <c r="AI469" s="17" t="n"/>
      <c r="AJ469" s="17" t="n"/>
    </row>
    <row r="470" ht="15.75" customHeight="1" s="44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7" t="n"/>
      <c r="AA470" s="17" t="n"/>
      <c r="AB470" s="17" t="n"/>
      <c r="AC470" s="17" t="n"/>
      <c r="AD470" s="17" t="n"/>
      <c r="AE470" s="17" t="n"/>
      <c r="AF470" s="17" t="n"/>
      <c r="AG470" s="17" t="n"/>
      <c r="AH470" s="17" t="n"/>
      <c r="AI470" s="17" t="n"/>
      <c r="AJ470" s="17" t="n"/>
    </row>
    <row r="471" ht="15.75" customHeight="1" s="44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/>
      <c r="Z471" s="17" t="n"/>
      <c r="AA471" s="17" t="n"/>
      <c r="AB471" s="17" t="n"/>
      <c r="AC471" s="17" t="n"/>
      <c r="AD471" s="17" t="n"/>
      <c r="AE471" s="17" t="n"/>
      <c r="AF471" s="17" t="n"/>
      <c r="AG471" s="17" t="n"/>
      <c r="AH471" s="17" t="n"/>
      <c r="AI471" s="17" t="n"/>
      <c r="AJ471" s="17" t="n"/>
    </row>
    <row r="472" ht="15.75" customHeight="1" s="44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/>
      <c r="Z472" s="17" t="n"/>
      <c r="AA472" s="17" t="n"/>
      <c r="AB472" s="17" t="n"/>
      <c r="AC472" s="17" t="n"/>
      <c r="AD472" s="17" t="n"/>
      <c r="AE472" s="17" t="n"/>
      <c r="AF472" s="17" t="n"/>
      <c r="AG472" s="17" t="n"/>
      <c r="AH472" s="17" t="n"/>
      <c r="AI472" s="17" t="n"/>
      <c r="AJ472" s="17" t="n"/>
    </row>
    <row r="473" ht="15.75" customHeight="1" s="44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/>
      <c r="Z473" s="17" t="n"/>
      <c r="AA473" s="17" t="n"/>
      <c r="AB473" s="17" t="n"/>
      <c r="AC473" s="17" t="n"/>
      <c r="AD473" s="17" t="n"/>
      <c r="AE473" s="17" t="n"/>
      <c r="AF473" s="17" t="n"/>
      <c r="AG473" s="17" t="n"/>
      <c r="AH473" s="17" t="n"/>
      <c r="AI473" s="17" t="n"/>
      <c r="AJ473" s="17" t="n"/>
    </row>
    <row r="474" ht="15.75" customHeight="1" s="4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/>
      <c r="Z474" s="17" t="n"/>
      <c r="AA474" s="17" t="n"/>
      <c r="AB474" s="17" t="n"/>
      <c r="AC474" s="17" t="n"/>
      <c r="AD474" s="17" t="n"/>
      <c r="AE474" s="17" t="n"/>
      <c r="AF474" s="17" t="n"/>
      <c r="AG474" s="17" t="n"/>
      <c r="AH474" s="17" t="n"/>
      <c r="AI474" s="17" t="n"/>
      <c r="AJ474" s="17" t="n"/>
    </row>
    <row r="475" ht="15.75" customHeight="1" s="44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/>
      <c r="Z475" s="17" t="n"/>
      <c r="AA475" s="17" t="n"/>
      <c r="AB475" s="17" t="n"/>
      <c r="AC475" s="17" t="n"/>
      <c r="AD475" s="17" t="n"/>
      <c r="AE475" s="17" t="n"/>
      <c r="AF475" s="17" t="n"/>
      <c r="AG475" s="17" t="n"/>
      <c r="AH475" s="17" t="n"/>
      <c r="AI475" s="17" t="n"/>
      <c r="AJ475" s="17" t="n"/>
    </row>
    <row r="476" ht="15.75" customHeight="1" s="44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/>
      <c r="Z476" s="17" t="n"/>
      <c r="AA476" s="17" t="n"/>
      <c r="AB476" s="17" t="n"/>
      <c r="AC476" s="17" t="n"/>
      <c r="AD476" s="17" t="n"/>
      <c r="AE476" s="17" t="n"/>
      <c r="AF476" s="17" t="n"/>
      <c r="AG476" s="17" t="n"/>
      <c r="AH476" s="17" t="n"/>
      <c r="AI476" s="17" t="n"/>
      <c r="AJ476" s="17" t="n"/>
    </row>
    <row r="477" ht="15.75" customHeight="1" s="44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/>
      <c r="Z477" s="17" t="n"/>
      <c r="AA477" s="17" t="n"/>
      <c r="AB477" s="17" t="n"/>
      <c r="AC477" s="17" t="n"/>
      <c r="AD477" s="17" t="n"/>
      <c r="AE477" s="17" t="n"/>
      <c r="AF477" s="17" t="n"/>
      <c r="AG477" s="17" t="n"/>
      <c r="AH477" s="17" t="n"/>
      <c r="AI477" s="17" t="n"/>
      <c r="AJ477" s="17" t="n"/>
    </row>
    <row r="478" ht="15.75" customHeight="1" s="44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/>
      <c r="Z478" s="17" t="n"/>
      <c r="AA478" s="17" t="n"/>
      <c r="AB478" s="17" t="n"/>
      <c r="AC478" s="17" t="n"/>
      <c r="AD478" s="17" t="n"/>
      <c r="AE478" s="17" t="n"/>
      <c r="AF478" s="17" t="n"/>
      <c r="AG478" s="17" t="n"/>
      <c r="AH478" s="17" t="n"/>
      <c r="AI478" s="17" t="n"/>
      <c r="AJ478" s="17" t="n"/>
    </row>
    <row r="479" ht="15.75" customHeight="1" s="44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/>
      <c r="Z479" s="17" t="n"/>
      <c r="AA479" s="17" t="n"/>
      <c r="AB479" s="17" t="n"/>
      <c r="AC479" s="17" t="n"/>
      <c r="AD479" s="17" t="n"/>
      <c r="AE479" s="17" t="n"/>
      <c r="AF479" s="17" t="n"/>
      <c r="AG479" s="17" t="n"/>
      <c r="AH479" s="17" t="n"/>
      <c r="AI479" s="17" t="n"/>
      <c r="AJ479" s="17" t="n"/>
    </row>
    <row r="480" ht="15.75" customHeight="1" s="44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/>
      <c r="Z480" s="17" t="n"/>
      <c r="AA480" s="17" t="n"/>
      <c r="AB480" s="17" t="n"/>
      <c r="AC480" s="17" t="n"/>
      <c r="AD480" s="17" t="n"/>
      <c r="AE480" s="17" t="n"/>
      <c r="AF480" s="17" t="n"/>
      <c r="AG480" s="17" t="n"/>
      <c r="AH480" s="17" t="n"/>
      <c r="AI480" s="17" t="n"/>
      <c r="AJ480" s="17" t="n"/>
    </row>
    <row r="481" ht="15.75" customHeight="1" s="44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/>
      <c r="Z481" s="17" t="n"/>
      <c r="AA481" s="17" t="n"/>
      <c r="AB481" s="17" t="n"/>
      <c r="AC481" s="17" t="n"/>
      <c r="AD481" s="17" t="n"/>
      <c r="AE481" s="17" t="n"/>
      <c r="AF481" s="17" t="n"/>
      <c r="AG481" s="17" t="n"/>
      <c r="AH481" s="17" t="n"/>
      <c r="AI481" s="17" t="n"/>
      <c r="AJ481" s="17" t="n"/>
    </row>
    <row r="482" ht="15.75" customHeight="1" s="44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/>
      <c r="Z482" s="17" t="n"/>
      <c r="AA482" s="17" t="n"/>
      <c r="AB482" s="17" t="n"/>
      <c r="AC482" s="17" t="n"/>
      <c r="AD482" s="17" t="n"/>
      <c r="AE482" s="17" t="n"/>
      <c r="AF482" s="17" t="n"/>
      <c r="AG482" s="17" t="n"/>
      <c r="AH482" s="17" t="n"/>
      <c r="AI482" s="17" t="n"/>
      <c r="AJ482" s="17" t="n"/>
    </row>
    <row r="483" ht="15.75" customHeight="1" s="44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/>
      <c r="Z483" s="17" t="n"/>
      <c r="AA483" s="17" t="n"/>
      <c r="AB483" s="17" t="n"/>
      <c r="AC483" s="17" t="n"/>
      <c r="AD483" s="17" t="n"/>
      <c r="AE483" s="17" t="n"/>
      <c r="AF483" s="17" t="n"/>
      <c r="AG483" s="17" t="n"/>
      <c r="AH483" s="17" t="n"/>
      <c r="AI483" s="17" t="n"/>
      <c r="AJ483" s="17" t="n"/>
    </row>
    <row r="484" ht="15.75" customHeight="1" s="4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/>
      <c r="Z484" s="17" t="n"/>
      <c r="AA484" s="17" t="n"/>
      <c r="AB484" s="17" t="n"/>
      <c r="AC484" s="17" t="n"/>
      <c r="AD484" s="17" t="n"/>
      <c r="AE484" s="17" t="n"/>
      <c r="AF484" s="17" t="n"/>
      <c r="AG484" s="17" t="n"/>
      <c r="AH484" s="17" t="n"/>
      <c r="AI484" s="17" t="n"/>
      <c r="AJ484" s="17" t="n"/>
    </row>
    <row r="485" ht="15.75" customHeight="1" s="44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/>
      <c r="Z485" s="17" t="n"/>
      <c r="AA485" s="17" t="n"/>
      <c r="AB485" s="17" t="n"/>
      <c r="AC485" s="17" t="n"/>
      <c r="AD485" s="17" t="n"/>
      <c r="AE485" s="17" t="n"/>
      <c r="AF485" s="17" t="n"/>
      <c r="AG485" s="17" t="n"/>
      <c r="AH485" s="17" t="n"/>
      <c r="AI485" s="17" t="n"/>
      <c r="AJ485" s="17" t="n"/>
    </row>
    <row r="486" ht="15.75" customHeight="1" s="44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/>
      <c r="Z486" s="17" t="n"/>
      <c r="AA486" s="17" t="n"/>
      <c r="AB486" s="17" t="n"/>
      <c r="AC486" s="17" t="n"/>
      <c r="AD486" s="17" t="n"/>
      <c r="AE486" s="17" t="n"/>
      <c r="AF486" s="17" t="n"/>
      <c r="AG486" s="17" t="n"/>
      <c r="AH486" s="17" t="n"/>
      <c r="AI486" s="17" t="n"/>
      <c r="AJ486" s="17" t="n"/>
    </row>
    <row r="487" ht="15.75" customHeight="1" s="44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/>
      <c r="Z487" s="17" t="n"/>
      <c r="AA487" s="17" t="n"/>
      <c r="AB487" s="17" t="n"/>
      <c r="AC487" s="17" t="n"/>
      <c r="AD487" s="17" t="n"/>
      <c r="AE487" s="17" t="n"/>
      <c r="AF487" s="17" t="n"/>
      <c r="AG487" s="17" t="n"/>
      <c r="AH487" s="17" t="n"/>
      <c r="AI487" s="17" t="n"/>
      <c r="AJ487" s="17" t="n"/>
    </row>
    <row r="488" ht="15.75" customHeight="1" s="44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/>
      <c r="Z488" s="17" t="n"/>
      <c r="AA488" s="17" t="n"/>
      <c r="AB488" s="17" t="n"/>
      <c r="AC488" s="17" t="n"/>
      <c r="AD488" s="17" t="n"/>
      <c r="AE488" s="17" t="n"/>
      <c r="AF488" s="17" t="n"/>
      <c r="AG488" s="17" t="n"/>
      <c r="AH488" s="17" t="n"/>
      <c r="AI488" s="17" t="n"/>
      <c r="AJ488" s="17" t="n"/>
    </row>
    <row r="489" ht="15.75" customHeight="1" s="44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/>
      <c r="Z489" s="17" t="n"/>
      <c r="AA489" s="17" t="n"/>
      <c r="AB489" s="17" t="n"/>
      <c r="AC489" s="17" t="n"/>
      <c r="AD489" s="17" t="n"/>
      <c r="AE489" s="17" t="n"/>
      <c r="AF489" s="17" t="n"/>
      <c r="AG489" s="17" t="n"/>
      <c r="AH489" s="17" t="n"/>
      <c r="AI489" s="17" t="n"/>
      <c r="AJ489" s="17" t="n"/>
    </row>
    <row r="490" ht="15.75" customHeight="1" s="44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/>
      <c r="Z490" s="17" t="n"/>
      <c r="AA490" s="17" t="n"/>
      <c r="AB490" s="17" t="n"/>
      <c r="AC490" s="17" t="n"/>
      <c r="AD490" s="17" t="n"/>
      <c r="AE490" s="17" t="n"/>
      <c r="AF490" s="17" t="n"/>
      <c r="AG490" s="17" t="n"/>
      <c r="AH490" s="17" t="n"/>
      <c r="AI490" s="17" t="n"/>
      <c r="AJ490" s="17" t="n"/>
    </row>
    <row r="491" ht="15.75" customHeight="1" s="44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/>
      <c r="Z491" s="17" t="n"/>
      <c r="AA491" s="17" t="n"/>
      <c r="AB491" s="17" t="n"/>
      <c r="AC491" s="17" t="n"/>
      <c r="AD491" s="17" t="n"/>
      <c r="AE491" s="17" t="n"/>
      <c r="AF491" s="17" t="n"/>
      <c r="AG491" s="17" t="n"/>
      <c r="AH491" s="17" t="n"/>
      <c r="AI491" s="17" t="n"/>
      <c r="AJ491" s="17" t="n"/>
    </row>
    <row r="492" ht="15.75" customHeight="1" s="44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/>
      <c r="Z492" s="17" t="n"/>
      <c r="AA492" s="17" t="n"/>
      <c r="AB492" s="17" t="n"/>
      <c r="AC492" s="17" t="n"/>
      <c r="AD492" s="17" t="n"/>
      <c r="AE492" s="17" t="n"/>
      <c r="AF492" s="17" t="n"/>
      <c r="AG492" s="17" t="n"/>
      <c r="AH492" s="17" t="n"/>
      <c r="AI492" s="17" t="n"/>
      <c r="AJ492" s="17" t="n"/>
    </row>
    <row r="493" ht="15.75" customHeight="1" s="44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/>
      <c r="Z493" s="17" t="n"/>
      <c r="AA493" s="17" t="n"/>
      <c r="AB493" s="17" t="n"/>
      <c r="AC493" s="17" t="n"/>
      <c r="AD493" s="17" t="n"/>
      <c r="AE493" s="17" t="n"/>
      <c r="AF493" s="17" t="n"/>
      <c r="AG493" s="17" t="n"/>
      <c r="AH493" s="17" t="n"/>
      <c r="AI493" s="17" t="n"/>
      <c r="AJ493" s="17" t="n"/>
    </row>
    <row r="494" ht="15.75" customHeight="1" s="4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/>
      <c r="Z494" s="17" t="n"/>
      <c r="AA494" s="17" t="n"/>
      <c r="AB494" s="17" t="n"/>
      <c r="AC494" s="17" t="n"/>
      <c r="AD494" s="17" t="n"/>
      <c r="AE494" s="17" t="n"/>
      <c r="AF494" s="17" t="n"/>
      <c r="AG494" s="17" t="n"/>
      <c r="AH494" s="17" t="n"/>
      <c r="AI494" s="17" t="n"/>
      <c r="AJ494" s="17" t="n"/>
    </row>
    <row r="495" ht="15.75" customHeight="1" s="44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7" t="n"/>
      <c r="Z495" s="17" t="n"/>
      <c r="AA495" s="17" t="n"/>
      <c r="AB495" s="17" t="n"/>
      <c r="AC495" s="17" t="n"/>
      <c r="AD495" s="17" t="n"/>
      <c r="AE495" s="17" t="n"/>
      <c r="AF495" s="17" t="n"/>
      <c r="AG495" s="17" t="n"/>
      <c r="AH495" s="17" t="n"/>
      <c r="AI495" s="17" t="n"/>
      <c r="AJ495" s="17" t="n"/>
    </row>
    <row r="496" ht="15.75" customHeight="1" s="44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/>
      <c r="Z496" s="17" t="n"/>
      <c r="AA496" s="17" t="n"/>
      <c r="AB496" s="17" t="n"/>
      <c r="AC496" s="17" t="n"/>
      <c r="AD496" s="17" t="n"/>
      <c r="AE496" s="17" t="n"/>
      <c r="AF496" s="17" t="n"/>
      <c r="AG496" s="17" t="n"/>
      <c r="AH496" s="17" t="n"/>
      <c r="AI496" s="17" t="n"/>
      <c r="AJ496" s="17" t="n"/>
    </row>
    <row r="497" ht="15.75" customHeight="1" s="44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/>
      <c r="Z497" s="17" t="n"/>
      <c r="AA497" s="17" t="n"/>
      <c r="AB497" s="17" t="n"/>
      <c r="AC497" s="17" t="n"/>
      <c r="AD497" s="17" t="n"/>
      <c r="AE497" s="17" t="n"/>
      <c r="AF497" s="17" t="n"/>
      <c r="AG497" s="17" t="n"/>
      <c r="AH497" s="17" t="n"/>
      <c r="AI497" s="17" t="n"/>
      <c r="AJ497" s="17" t="n"/>
    </row>
    <row r="498" ht="15.75" customHeight="1" s="44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/>
      <c r="Z498" s="17" t="n"/>
      <c r="AA498" s="17" t="n"/>
      <c r="AB498" s="17" t="n"/>
      <c r="AC498" s="17" t="n"/>
      <c r="AD498" s="17" t="n"/>
      <c r="AE498" s="17" t="n"/>
      <c r="AF498" s="17" t="n"/>
      <c r="AG498" s="17" t="n"/>
      <c r="AH498" s="17" t="n"/>
      <c r="AI498" s="17" t="n"/>
      <c r="AJ498" s="17" t="n"/>
    </row>
    <row r="499" ht="15.75" customHeight="1" s="44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/>
      <c r="Z499" s="17" t="n"/>
      <c r="AA499" s="17" t="n"/>
      <c r="AB499" s="17" t="n"/>
      <c r="AC499" s="17" t="n"/>
      <c r="AD499" s="17" t="n"/>
      <c r="AE499" s="17" t="n"/>
      <c r="AF499" s="17" t="n"/>
      <c r="AG499" s="17" t="n"/>
      <c r="AH499" s="17" t="n"/>
      <c r="AI499" s="17" t="n"/>
      <c r="AJ499" s="17" t="n"/>
    </row>
    <row r="500" ht="15.75" customHeight="1" s="44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/>
      <c r="Z500" s="17" t="n"/>
      <c r="AA500" s="17" t="n"/>
      <c r="AB500" s="17" t="n"/>
      <c r="AC500" s="17" t="n"/>
      <c r="AD500" s="17" t="n"/>
      <c r="AE500" s="17" t="n"/>
      <c r="AF500" s="17" t="n"/>
      <c r="AG500" s="17" t="n"/>
      <c r="AH500" s="17" t="n"/>
      <c r="AI500" s="17" t="n"/>
      <c r="AJ500" s="17" t="n"/>
    </row>
    <row r="501" ht="15.75" customHeight="1" s="44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/>
      <c r="Z501" s="17" t="n"/>
      <c r="AA501" s="17" t="n"/>
      <c r="AB501" s="17" t="n"/>
      <c r="AC501" s="17" t="n"/>
      <c r="AD501" s="17" t="n"/>
      <c r="AE501" s="17" t="n"/>
      <c r="AF501" s="17" t="n"/>
      <c r="AG501" s="17" t="n"/>
      <c r="AH501" s="17" t="n"/>
      <c r="AI501" s="17" t="n"/>
      <c r="AJ501" s="17" t="n"/>
    </row>
    <row r="502" ht="15.75" customHeight="1" s="44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/>
      <c r="Z502" s="17" t="n"/>
      <c r="AA502" s="17" t="n"/>
      <c r="AB502" s="17" t="n"/>
      <c r="AC502" s="17" t="n"/>
      <c r="AD502" s="17" t="n"/>
      <c r="AE502" s="17" t="n"/>
      <c r="AF502" s="17" t="n"/>
      <c r="AG502" s="17" t="n"/>
      <c r="AH502" s="17" t="n"/>
      <c r="AI502" s="17" t="n"/>
      <c r="AJ502" s="17" t="n"/>
    </row>
    <row r="503" ht="15.75" customHeight="1" s="44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/>
      <c r="Z503" s="17" t="n"/>
      <c r="AA503" s="17" t="n"/>
      <c r="AB503" s="17" t="n"/>
      <c r="AC503" s="17" t="n"/>
      <c r="AD503" s="17" t="n"/>
      <c r="AE503" s="17" t="n"/>
      <c r="AF503" s="17" t="n"/>
      <c r="AG503" s="17" t="n"/>
      <c r="AH503" s="17" t="n"/>
      <c r="AI503" s="17" t="n"/>
      <c r="AJ503" s="17" t="n"/>
    </row>
    <row r="504" ht="15.75" customHeight="1" s="4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/>
      <c r="Z504" s="17" t="n"/>
      <c r="AA504" s="17" t="n"/>
      <c r="AB504" s="17" t="n"/>
      <c r="AC504" s="17" t="n"/>
      <c r="AD504" s="17" t="n"/>
      <c r="AE504" s="17" t="n"/>
      <c r="AF504" s="17" t="n"/>
      <c r="AG504" s="17" t="n"/>
      <c r="AH504" s="17" t="n"/>
      <c r="AI504" s="17" t="n"/>
      <c r="AJ504" s="17" t="n"/>
    </row>
    <row r="505" ht="15.75" customHeight="1" s="44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/>
      <c r="Z505" s="17" t="n"/>
      <c r="AA505" s="17" t="n"/>
      <c r="AB505" s="17" t="n"/>
      <c r="AC505" s="17" t="n"/>
      <c r="AD505" s="17" t="n"/>
      <c r="AE505" s="17" t="n"/>
      <c r="AF505" s="17" t="n"/>
      <c r="AG505" s="17" t="n"/>
      <c r="AH505" s="17" t="n"/>
      <c r="AI505" s="17" t="n"/>
      <c r="AJ505" s="17" t="n"/>
    </row>
    <row r="506" ht="15.75" customHeight="1" s="44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7" t="n"/>
      <c r="AA506" s="17" t="n"/>
      <c r="AB506" s="17" t="n"/>
      <c r="AC506" s="17" t="n"/>
      <c r="AD506" s="17" t="n"/>
      <c r="AE506" s="17" t="n"/>
      <c r="AF506" s="17" t="n"/>
      <c r="AG506" s="17" t="n"/>
      <c r="AH506" s="17" t="n"/>
      <c r="AI506" s="17" t="n"/>
      <c r="AJ506" s="17" t="n"/>
    </row>
    <row r="507" ht="15.75" customHeight="1" s="44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/>
      <c r="Z507" s="17" t="n"/>
      <c r="AA507" s="17" t="n"/>
      <c r="AB507" s="17" t="n"/>
      <c r="AC507" s="17" t="n"/>
      <c r="AD507" s="17" t="n"/>
      <c r="AE507" s="17" t="n"/>
      <c r="AF507" s="17" t="n"/>
      <c r="AG507" s="17" t="n"/>
      <c r="AH507" s="17" t="n"/>
      <c r="AI507" s="17" t="n"/>
      <c r="AJ507" s="17" t="n"/>
    </row>
    <row r="508" ht="15.75" customHeight="1" s="44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/>
      <c r="Z508" s="17" t="n"/>
      <c r="AA508" s="17" t="n"/>
      <c r="AB508" s="17" t="n"/>
      <c r="AC508" s="17" t="n"/>
      <c r="AD508" s="17" t="n"/>
      <c r="AE508" s="17" t="n"/>
      <c r="AF508" s="17" t="n"/>
      <c r="AG508" s="17" t="n"/>
      <c r="AH508" s="17" t="n"/>
      <c r="AI508" s="17" t="n"/>
      <c r="AJ508" s="17" t="n"/>
    </row>
    <row r="509" ht="15.75" customHeight="1" s="44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/>
      <c r="Z509" s="17" t="n"/>
      <c r="AA509" s="17" t="n"/>
      <c r="AB509" s="17" t="n"/>
      <c r="AC509" s="17" t="n"/>
      <c r="AD509" s="17" t="n"/>
      <c r="AE509" s="17" t="n"/>
      <c r="AF509" s="17" t="n"/>
      <c r="AG509" s="17" t="n"/>
      <c r="AH509" s="17" t="n"/>
      <c r="AI509" s="17" t="n"/>
      <c r="AJ509" s="17" t="n"/>
    </row>
    <row r="510" ht="15.75" customHeight="1" s="44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/>
      <c r="Z510" s="17" t="n"/>
      <c r="AA510" s="17" t="n"/>
      <c r="AB510" s="17" t="n"/>
      <c r="AC510" s="17" t="n"/>
      <c r="AD510" s="17" t="n"/>
      <c r="AE510" s="17" t="n"/>
      <c r="AF510" s="17" t="n"/>
      <c r="AG510" s="17" t="n"/>
      <c r="AH510" s="17" t="n"/>
      <c r="AI510" s="17" t="n"/>
      <c r="AJ510" s="17" t="n"/>
    </row>
    <row r="511" ht="15.75" customHeight="1" s="44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/>
      <c r="Z511" s="17" t="n"/>
      <c r="AA511" s="17" t="n"/>
      <c r="AB511" s="17" t="n"/>
      <c r="AC511" s="17" t="n"/>
      <c r="AD511" s="17" t="n"/>
      <c r="AE511" s="17" t="n"/>
      <c r="AF511" s="17" t="n"/>
      <c r="AG511" s="17" t="n"/>
      <c r="AH511" s="17" t="n"/>
      <c r="AI511" s="17" t="n"/>
      <c r="AJ511" s="17" t="n"/>
    </row>
    <row r="512" ht="15.75" customHeight="1" s="44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/>
      <c r="Z512" s="17" t="n"/>
      <c r="AA512" s="17" t="n"/>
      <c r="AB512" s="17" t="n"/>
      <c r="AC512" s="17" t="n"/>
      <c r="AD512" s="17" t="n"/>
      <c r="AE512" s="17" t="n"/>
      <c r="AF512" s="17" t="n"/>
      <c r="AG512" s="17" t="n"/>
      <c r="AH512" s="17" t="n"/>
      <c r="AI512" s="17" t="n"/>
      <c r="AJ512" s="17" t="n"/>
    </row>
    <row r="513" ht="15.75" customHeight="1" s="44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/>
      <c r="Z513" s="17" t="n"/>
      <c r="AA513" s="17" t="n"/>
      <c r="AB513" s="17" t="n"/>
      <c r="AC513" s="17" t="n"/>
      <c r="AD513" s="17" t="n"/>
      <c r="AE513" s="17" t="n"/>
      <c r="AF513" s="17" t="n"/>
      <c r="AG513" s="17" t="n"/>
      <c r="AH513" s="17" t="n"/>
      <c r="AI513" s="17" t="n"/>
      <c r="AJ513" s="17" t="n"/>
    </row>
    <row r="514" ht="15.75" customHeight="1" s="4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7" t="n"/>
      <c r="AA514" s="17" t="n"/>
      <c r="AB514" s="17" t="n"/>
      <c r="AC514" s="17" t="n"/>
      <c r="AD514" s="17" t="n"/>
      <c r="AE514" s="17" t="n"/>
      <c r="AF514" s="17" t="n"/>
      <c r="AG514" s="17" t="n"/>
      <c r="AH514" s="17" t="n"/>
      <c r="AI514" s="17" t="n"/>
      <c r="AJ514" s="17" t="n"/>
    </row>
    <row r="515" ht="15.75" customHeight="1" s="44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/>
      <c r="Z515" s="17" t="n"/>
      <c r="AA515" s="17" t="n"/>
      <c r="AB515" s="17" t="n"/>
      <c r="AC515" s="17" t="n"/>
      <c r="AD515" s="17" t="n"/>
      <c r="AE515" s="17" t="n"/>
      <c r="AF515" s="17" t="n"/>
      <c r="AG515" s="17" t="n"/>
      <c r="AH515" s="17" t="n"/>
      <c r="AI515" s="17" t="n"/>
      <c r="AJ515" s="17" t="n"/>
    </row>
    <row r="516" ht="15.75" customHeight="1" s="44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/>
      <c r="Z516" s="17" t="n"/>
      <c r="AA516" s="17" t="n"/>
      <c r="AB516" s="17" t="n"/>
      <c r="AC516" s="17" t="n"/>
      <c r="AD516" s="17" t="n"/>
      <c r="AE516" s="17" t="n"/>
      <c r="AF516" s="17" t="n"/>
      <c r="AG516" s="17" t="n"/>
      <c r="AH516" s="17" t="n"/>
      <c r="AI516" s="17" t="n"/>
      <c r="AJ516" s="17" t="n"/>
    </row>
    <row r="517" ht="15.75" customHeight="1" s="44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7" t="n"/>
      <c r="Z517" s="17" t="n"/>
      <c r="AA517" s="17" t="n"/>
      <c r="AB517" s="17" t="n"/>
      <c r="AC517" s="17" t="n"/>
      <c r="AD517" s="17" t="n"/>
      <c r="AE517" s="17" t="n"/>
      <c r="AF517" s="17" t="n"/>
      <c r="AG517" s="17" t="n"/>
      <c r="AH517" s="17" t="n"/>
      <c r="AI517" s="17" t="n"/>
      <c r="AJ517" s="17" t="n"/>
    </row>
    <row r="518" ht="15.75" customHeight="1" s="44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/>
      <c r="Z518" s="17" t="n"/>
      <c r="AA518" s="17" t="n"/>
      <c r="AB518" s="17" t="n"/>
      <c r="AC518" s="17" t="n"/>
      <c r="AD518" s="17" t="n"/>
      <c r="AE518" s="17" t="n"/>
      <c r="AF518" s="17" t="n"/>
      <c r="AG518" s="17" t="n"/>
      <c r="AH518" s="17" t="n"/>
      <c r="AI518" s="17" t="n"/>
      <c r="AJ518" s="17" t="n"/>
    </row>
    <row r="519" ht="15.75" customHeight="1" s="44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/>
      <c r="Z519" s="17" t="n"/>
      <c r="AA519" s="17" t="n"/>
      <c r="AB519" s="17" t="n"/>
      <c r="AC519" s="17" t="n"/>
      <c r="AD519" s="17" t="n"/>
      <c r="AE519" s="17" t="n"/>
      <c r="AF519" s="17" t="n"/>
      <c r="AG519" s="17" t="n"/>
      <c r="AH519" s="17" t="n"/>
      <c r="AI519" s="17" t="n"/>
      <c r="AJ519" s="17" t="n"/>
    </row>
    <row r="520" ht="15.75" customHeight="1" s="44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/>
      <c r="Z520" s="17" t="n"/>
      <c r="AA520" s="17" t="n"/>
      <c r="AB520" s="17" t="n"/>
      <c r="AC520" s="17" t="n"/>
      <c r="AD520" s="17" t="n"/>
      <c r="AE520" s="17" t="n"/>
      <c r="AF520" s="17" t="n"/>
      <c r="AG520" s="17" t="n"/>
      <c r="AH520" s="17" t="n"/>
      <c r="AI520" s="17" t="n"/>
      <c r="AJ520" s="17" t="n"/>
    </row>
    <row r="521" ht="15.75" customHeight="1" s="44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/>
      <c r="Z521" s="17" t="n"/>
      <c r="AA521" s="17" t="n"/>
      <c r="AB521" s="17" t="n"/>
      <c r="AC521" s="17" t="n"/>
      <c r="AD521" s="17" t="n"/>
      <c r="AE521" s="17" t="n"/>
      <c r="AF521" s="17" t="n"/>
      <c r="AG521" s="17" t="n"/>
      <c r="AH521" s="17" t="n"/>
      <c r="AI521" s="17" t="n"/>
      <c r="AJ521" s="17" t="n"/>
    </row>
    <row r="522" ht="15.75" customHeight="1" s="44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/>
      <c r="Z522" s="17" t="n"/>
      <c r="AA522" s="17" t="n"/>
      <c r="AB522" s="17" t="n"/>
      <c r="AC522" s="17" t="n"/>
      <c r="AD522" s="17" t="n"/>
      <c r="AE522" s="17" t="n"/>
      <c r="AF522" s="17" t="n"/>
      <c r="AG522" s="17" t="n"/>
      <c r="AH522" s="17" t="n"/>
      <c r="AI522" s="17" t="n"/>
      <c r="AJ522" s="17" t="n"/>
    </row>
    <row r="523" ht="15.75" customHeight="1" s="44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7" t="n"/>
      <c r="AA523" s="17" t="n"/>
      <c r="AB523" s="17" t="n"/>
      <c r="AC523" s="17" t="n"/>
      <c r="AD523" s="17" t="n"/>
      <c r="AE523" s="17" t="n"/>
      <c r="AF523" s="17" t="n"/>
      <c r="AG523" s="17" t="n"/>
      <c r="AH523" s="17" t="n"/>
      <c r="AI523" s="17" t="n"/>
      <c r="AJ523" s="17" t="n"/>
    </row>
    <row r="524" ht="15.75" customHeight="1" s="4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7" t="n"/>
      <c r="AA524" s="17" t="n"/>
      <c r="AB524" s="17" t="n"/>
      <c r="AC524" s="17" t="n"/>
      <c r="AD524" s="17" t="n"/>
      <c r="AE524" s="17" t="n"/>
      <c r="AF524" s="17" t="n"/>
      <c r="AG524" s="17" t="n"/>
      <c r="AH524" s="17" t="n"/>
      <c r="AI524" s="17" t="n"/>
      <c r="AJ524" s="17" t="n"/>
    </row>
    <row r="525" ht="15.75" customHeight="1" s="44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/>
      <c r="Z525" s="17" t="n"/>
      <c r="AA525" s="17" t="n"/>
      <c r="AB525" s="17" t="n"/>
      <c r="AC525" s="17" t="n"/>
      <c r="AD525" s="17" t="n"/>
      <c r="AE525" s="17" t="n"/>
      <c r="AF525" s="17" t="n"/>
      <c r="AG525" s="17" t="n"/>
      <c r="AH525" s="17" t="n"/>
      <c r="AI525" s="17" t="n"/>
      <c r="AJ525" s="17" t="n"/>
    </row>
    <row r="526" ht="15.75" customHeight="1" s="44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7" t="n"/>
      <c r="AA526" s="17" t="n"/>
      <c r="AB526" s="17" t="n"/>
      <c r="AC526" s="17" t="n"/>
      <c r="AD526" s="17" t="n"/>
      <c r="AE526" s="17" t="n"/>
      <c r="AF526" s="17" t="n"/>
      <c r="AG526" s="17" t="n"/>
      <c r="AH526" s="17" t="n"/>
      <c r="AI526" s="17" t="n"/>
      <c r="AJ526" s="17" t="n"/>
    </row>
    <row r="527" ht="15.75" customHeight="1" s="44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7" t="n"/>
      <c r="Z527" s="17" t="n"/>
      <c r="AA527" s="17" t="n"/>
      <c r="AB527" s="17" t="n"/>
      <c r="AC527" s="17" t="n"/>
      <c r="AD527" s="17" t="n"/>
      <c r="AE527" s="17" t="n"/>
      <c r="AF527" s="17" t="n"/>
      <c r="AG527" s="17" t="n"/>
      <c r="AH527" s="17" t="n"/>
      <c r="AI527" s="17" t="n"/>
      <c r="AJ527" s="17" t="n"/>
    </row>
    <row r="528" ht="15.75" customHeight="1" s="44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/>
      <c r="Z528" s="17" t="n"/>
      <c r="AA528" s="17" t="n"/>
      <c r="AB528" s="17" t="n"/>
      <c r="AC528" s="17" t="n"/>
      <c r="AD528" s="17" t="n"/>
      <c r="AE528" s="17" t="n"/>
      <c r="AF528" s="17" t="n"/>
      <c r="AG528" s="17" t="n"/>
      <c r="AH528" s="17" t="n"/>
      <c r="AI528" s="17" t="n"/>
      <c r="AJ528" s="17" t="n"/>
    </row>
    <row r="529" ht="15.75" customHeight="1" s="44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/>
      <c r="Z529" s="17" t="n"/>
      <c r="AA529" s="17" t="n"/>
      <c r="AB529" s="17" t="n"/>
      <c r="AC529" s="17" t="n"/>
      <c r="AD529" s="17" t="n"/>
      <c r="AE529" s="17" t="n"/>
      <c r="AF529" s="17" t="n"/>
      <c r="AG529" s="17" t="n"/>
      <c r="AH529" s="17" t="n"/>
      <c r="AI529" s="17" t="n"/>
      <c r="AJ529" s="17" t="n"/>
    </row>
    <row r="530" ht="15.75" customHeight="1" s="44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/>
      <c r="Z530" s="17" t="n"/>
      <c r="AA530" s="17" t="n"/>
      <c r="AB530" s="17" t="n"/>
      <c r="AC530" s="17" t="n"/>
      <c r="AD530" s="17" t="n"/>
      <c r="AE530" s="17" t="n"/>
      <c r="AF530" s="17" t="n"/>
      <c r="AG530" s="17" t="n"/>
      <c r="AH530" s="17" t="n"/>
      <c r="AI530" s="17" t="n"/>
      <c r="AJ530" s="17" t="n"/>
    </row>
    <row r="531" ht="15.75" customHeight="1" s="44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/>
      <c r="Z531" s="17" t="n"/>
      <c r="AA531" s="17" t="n"/>
      <c r="AB531" s="17" t="n"/>
      <c r="AC531" s="17" t="n"/>
      <c r="AD531" s="17" t="n"/>
      <c r="AE531" s="17" t="n"/>
      <c r="AF531" s="17" t="n"/>
      <c r="AG531" s="17" t="n"/>
      <c r="AH531" s="17" t="n"/>
      <c r="AI531" s="17" t="n"/>
      <c r="AJ531" s="17" t="n"/>
    </row>
    <row r="532" ht="15.75" customHeight="1" s="44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/>
      <c r="Z532" s="17" t="n"/>
      <c r="AA532" s="17" t="n"/>
      <c r="AB532" s="17" t="n"/>
      <c r="AC532" s="17" t="n"/>
      <c r="AD532" s="17" t="n"/>
      <c r="AE532" s="17" t="n"/>
      <c r="AF532" s="17" t="n"/>
      <c r="AG532" s="17" t="n"/>
      <c r="AH532" s="17" t="n"/>
      <c r="AI532" s="17" t="n"/>
      <c r="AJ532" s="17" t="n"/>
    </row>
    <row r="533" ht="15.75" customHeight="1" s="44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/>
      <c r="Z533" s="17" t="n"/>
      <c r="AA533" s="17" t="n"/>
      <c r="AB533" s="17" t="n"/>
      <c r="AC533" s="17" t="n"/>
      <c r="AD533" s="17" t="n"/>
      <c r="AE533" s="17" t="n"/>
      <c r="AF533" s="17" t="n"/>
      <c r="AG533" s="17" t="n"/>
      <c r="AH533" s="17" t="n"/>
      <c r="AI533" s="17" t="n"/>
      <c r="AJ533" s="17" t="n"/>
    </row>
    <row r="534" ht="15.75" customHeight="1" s="4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/>
      <c r="Z534" s="17" t="n"/>
      <c r="AA534" s="17" t="n"/>
      <c r="AB534" s="17" t="n"/>
      <c r="AC534" s="17" t="n"/>
      <c r="AD534" s="17" t="n"/>
      <c r="AE534" s="17" t="n"/>
      <c r="AF534" s="17" t="n"/>
      <c r="AG534" s="17" t="n"/>
      <c r="AH534" s="17" t="n"/>
      <c r="AI534" s="17" t="n"/>
      <c r="AJ534" s="17" t="n"/>
    </row>
    <row r="535" ht="15.75" customHeight="1" s="44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/>
      <c r="Z535" s="17" t="n"/>
      <c r="AA535" s="17" t="n"/>
      <c r="AB535" s="17" t="n"/>
      <c r="AC535" s="17" t="n"/>
      <c r="AD535" s="17" t="n"/>
      <c r="AE535" s="17" t="n"/>
      <c r="AF535" s="17" t="n"/>
      <c r="AG535" s="17" t="n"/>
      <c r="AH535" s="17" t="n"/>
      <c r="AI535" s="17" t="n"/>
      <c r="AJ535" s="17" t="n"/>
    </row>
    <row r="536" ht="15.75" customHeight="1" s="44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/>
      <c r="Z536" s="17" t="n"/>
      <c r="AA536" s="17" t="n"/>
      <c r="AB536" s="17" t="n"/>
      <c r="AC536" s="17" t="n"/>
      <c r="AD536" s="17" t="n"/>
      <c r="AE536" s="17" t="n"/>
      <c r="AF536" s="17" t="n"/>
      <c r="AG536" s="17" t="n"/>
      <c r="AH536" s="17" t="n"/>
      <c r="AI536" s="17" t="n"/>
      <c r="AJ536" s="17" t="n"/>
    </row>
    <row r="537" ht="15.75" customHeight="1" s="44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/>
      <c r="Z537" s="17" t="n"/>
      <c r="AA537" s="17" t="n"/>
      <c r="AB537" s="17" t="n"/>
      <c r="AC537" s="17" t="n"/>
      <c r="AD537" s="17" t="n"/>
      <c r="AE537" s="17" t="n"/>
      <c r="AF537" s="17" t="n"/>
      <c r="AG537" s="17" t="n"/>
      <c r="AH537" s="17" t="n"/>
      <c r="AI537" s="17" t="n"/>
      <c r="AJ537" s="17" t="n"/>
    </row>
    <row r="538" ht="15.75" customHeight="1" s="44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/>
      <c r="Z538" s="17" t="n"/>
      <c r="AA538" s="17" t="n"/>
      <c r="AB538" s="17" t="n"/>
      <c r="AC538" s="17" t="n"/>
      <c r="AD538" s="17" t="n"/>
      <c r="AE538" s="17" t="n"/>
      <c r="AF538" s="17" t="n"/>
      <c r="AG538" s="17" t="n"/>
      <c r="AH538" s="17" t="n"/>
      <c r="AI538" s="17" t="n"/>
      <c r="AJ538" s="17" t="n"/>
    </row>
    <row r="539" ht="15.75" customHeight="1" s="44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/>
      <c r="Z539" s="17" t="n"/>
      <c r="AA539" s="17" t="n"/>
      <c r="AB539" s="17" t="n"/>
      <c r="AC539" s="17" t="n"/>
      <c r="AD539" s="17" t="n"/>
      <c r="AE539" s="17" t="n"/>
      <c r="AF539" s="17" t="n"/>
      <c r="AG539" s="17" t="n"/>
      <c r="AH539" s="17" t="n"/>
      <c r="AI539" s="17" t="n"/>
      <c r="AJ539" s="17" t="n"/>
    </row>
    <row r="540" ht="15.75" customHeight="1" s="44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/>
      <c r="Z540" s="17" t="n"/>
      <c r="AA540" s="17" t="n"/>
      <c r="AB540" s="17" t="n"/>
      <c r="AC540" s="17" t="n"/>
      <c r="AD540" s="17" t="n"/>
      <c r="AE540" s="17" t="n"/>
      <c r="AF540" s="17" t="n"/>
      <c r="AG540" s="17" t="n"/>
      <c r="AH540" s="17" t="n"/>
      <c r="AI540" s="17" t="n"/>
      <c r="AJ540" s="17" t="n"/>
    </row>
    <row r="541" ht="15.75" customHeight="1" s="44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/>
      <c r="Z541" s="17" t="n"/>
      <c r="AA541" s="17" t="n"/>
      <c r="AB541" s="17" t="n"/>
      <c r="AC541" s="17" t="n"/>
      <c r="AD541" s="17" t="n"/>
      <c r="AE541" s="17" t="n"/>
      <c r="AF541" s="17" t="n"/>
      <c r="AG541" s="17" t="n"/>
      <c r="AH541" s="17" t="n"/>
      <c r="AI541" s="17" t="n"/>
      <c r="AJ541" s="17" t="n"/>
    </row>
    <row r="542" ht="15.75" customHeight="1" s="44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/>
      <c r="Z542" s="17" t="n"/>
      <c r="AA542" s="17" t="n"/>
      <c r="AB542" s="17" t="n"/>
      <c r="AC542" s="17" t="n"/>
      <c r="AD542" s="17" t="n"/>
      <c r="AE542" s="17" t="n"/>
      <c r="AF542" s="17" t="n"/>
      <c r="AG542" s="17" t="n"/>
      <c r="AH542" s="17" t="n"/>
      <c r="AI542" s="17" t="n"/>
      <c r="AJ542" s="17" t="n"/>
    </row>
    <row r="543" ht="15.75" customHeight="1" s="44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/>
      <c r="Z543" s="17" t="n"/>
      <c r="AA543" s="17" t="n"/>
      <c r="AB543" s="17" t="n"/>
      <c r="AC543" s="17" t="n"/>
      <c r="AD543" s="17" t="n"/>
      <c r="AE543" s="17" t="n"/>
      <c r="AF543" s="17" t="n"/>
      <c r="AG543" s="17" t="n"/>
      <c r="AH543" s="17" t="n"/>
      <c r="AI543" s="17" t="n"/>
      <c r="AJ543" s="17" t="n"/>
    </row>
    <row r="544" ht="15.75" customHeight="1" s="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/>
      <c r="Z544" s="17" t="n"/>
      <c r="AA544" s="17" t="n"/>
      <c r="AB544" s="17" t="n"/>
      <c r="AC544" s="17" t="n"/>
      <c r="AD544" s="17" t="n"/>
      <c r="AE544" s="17" t="n"/>
      <c r="AF544" s="17" t="n"/>
      <c r="AG544" s="17" t="n"/>
      <c r="AH544" s="17" t="n"/>
      <c r="AI544" s="17" t="n"/>
      <c r="AJ544" s="17" t="n"/>
    </row>
    <row r="545" ht="15.75" customHeight="1" s="44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/>
      <c r="Z545" s="17" t="n"/>
      <c r="AA545" s="17" t="n"/>
      <c r="AB545" s="17" t="n"/>
      <c r="AC545" s="17" t="n"/>
      <c r="AD545" s="17" t="n"/>
      <c r="AE545" s="17" t="n"/>
      <c r="AF545" s="17" t="n"/>
      <c r="AG545" s="17" t="n"/>
      <c r="AH545" s="17" t="n"/>
      <c r="AI545" s="17" t="n"/>
      <c r="AJ545" s="17" t="n"/>
    </row>
    <row r="546" ht="15.75" customHeight="1" s="44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/>
      <c r="Z546" s="17" t="n"/>
      <c r="AA546" s="17" t="n"/>
      <c r="AB546" s="17" t="n"/>
      <c r="AC546" s="17" t="n"/>
      <c r="AD546" s="17" t="n"/>
      <c r="AE546" s="17" t="n"/>
      <c r="AF546" s="17" t="n"/>
      <c r="AG546" s="17" t="n"/>
      <c r="AH546" s="17" t="n"/>
      <c r="AI546" s="17" t="n"/>
      <c r="AJ546" s="17" t="n"/>
    </row>
    <row r="547" ht="15.75" customHeight="1" s="44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7" t="n"/>
      <c r="Z547" s="17" t="n"/>
      <c r="AA547" s="17" t="n"/>
      <c r="AB547" s="17" t="n"/>
      <c r="AC547" s="17" t="n"/>
      <c r="AD547" s="17" t="n"/>
      <c r="AE547" s="17" t="n"/>
      <c r="AF547" s="17" t="n"/>
      <c r="AG547" s="17" t="n"/>
      <c r="AH547" s="17" t="n"/>
      <c r="AI547" s="17" t="n"/>
      <c r="AJ547" s="17" t="n"/>
    </row>
    <row r="548" ht="15.75" customHeight="1" s="44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/>
      <c r="Z548" s="17" t="n"/>
      <c r="AA548" s="17" t="n"/>
      <c r="AB548" s="17" t="n"/>
      <c r="AC548" s="17" t="n"/>
      <c r="AD548" s="17" t="n"/>
      <c r="AE548" s="17" t="n"/>
      <c r="AF548" s="17" t="n"/>
      <c r="AG548" s="17" t="n"/>
      <c r="AH548" s="17" t="n"/>
      <c r="AI548" s="17" t="n"/>
      <c r="AJ548" s="17" t="n"/>
    </row>
    <row r="549" ht="15.75" customHeight="1" s="44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/>
      <c r="Z549" s="17" t="n"/>
      <c r="AA549" s="17" t="n"/>
      <c r="AB549" s="17" t="n"/>
      <c r="AC549" s="17" t="n"/>
      <c r="AD549" s="17" t="n"/>
      <c r="AE549" s="17" t="n"/>
      <c r="AF549" s="17" t="n"/>
      <c r="AG549" s="17" t="n"/>
      <c r="AH549" s="17" t="n"/>
      <c r="AI549" s="17" t="n"/>
      <c r="AJ549" s="17" t="n"/>
    </row>
    <row r="550" ht="15.75" customHeight="1" s="44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7" t="n"/>
      <c r="AA550" s="17" t="n"/>
      <c r="AB550" s="17" t="n"/>
      <c r="AC550" s="17" t="n"/>
      <c r="AD550" s="17" t="n"/>
      <c r="AE550" s="17" t="n"/>
      <c r="AF550" s="17" t="n"/>
      <c r="AG550" s="17" t="n"/>
      <c r="AH550" s="17" t="n"/>
      <c r="AI550" s="17" t="n"/>
      <c r="AJ550" s="17" t="n"/>
    </row>
    <row r="551" ht="15.75" customHeight="1" s="44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/>
      <c r="Z551" s="17" t="n"/>
      <c r="AA551" s="17" t="n"/>
      <c r="AB551" s="17" t="n"/>
      <c r="AC551" s="17" t="n"/>
      <c r="AD551" s="17" t="n"/>
      <c r="AE551" s="17" t="n"/>
      <c r="AF551" s="17" t="n"/>
      <c r="AG551" s="17" t="n"/>
      <c r="AH551" s="17" t="n"/>
      <c r="AI551" s="17" t="n"/>
      <c r="AJ551" s="17" t="n"/>
    </row>
    <row r="552" ht="15.75" customHeight="1" s="44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/>
      <c r="Z552" s="17" t="n"/>
      <c r="AA552" s="17" t="n"/>
      <c r="AB552" s="17" t="n"/>
      <c r="AC552" s="17" t="n"/>
      <c r="AD552" s="17" t="n"/>
      <c r="AE552" s="17" t="n"/>
      <c r="AF552" s="17" t="n"/>
      <c r="AG552" s="17" t="n"/>
      <c r="AH552" s="17" t="n"/>
      <c r="AI552" s="17" t="n"/>
      <c r="AJ552" s="17" t="n"/>
    </row>
    <row r="553" ht="15.75" customHeight="1" s="44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/>
      <c r="Z553" s="17" t="n"/>
      <c r="AA553" s="17" t="n"/>
      <c r="AB553" s="17" t="n"/>
      <c r="AC553" s="17" t="n"/>
      <c r="AD553" s="17" t="n"/>
      <c r="AE553" s="17" t="n"/>
      <c r="AF553" s="17" t="n"/>
      <c r="AG553" s="17" t="n"/>
      <c r="AH553" s="17" t="n"/>
      <c r="AI553" s="17" t="n"/>
      <c r="AJ553" s="17" t="n"/>
    </row>
    <row r="554" ht="15.75" customHeight="1" s="4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/>
      <c r="Z554" s="17" t="n"/>
      <c r="AA554" s="17" t="n"/>
      <c r="AB554" s="17" t="n"/>
      <c r="AC554" s="17" t="n"/>
      <c r="AD554" s="17" t="n"/>
      <c r="AE554" s="17" t="n"/>
      <c r="AF554" s="17" t="n"/>
      <c r="AG554" s="17" t="n"/>
      <c r="AH554" s="17" t="n"/>
      <c r="AI554" s="17" t="n"/>
      <c r="AJ554" s="17" t="n"/>
    </row>
    <row r="555" ht="15.75" customHeight="1" s="44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/>
      <c r="Z555" s="17" t="n"/>
      <c r="AA555" s="17" t="n"/>
      <c r="AB555" s="17" t="n"/>
      <c r="AC555" s="17" t="n"/>
      <c r="AD555" s="17" t="n"/>
      <c r="AE555" s="17" t="n"/>
      <c r="AF555" s="17" t="n"/>
      <c r="AG555" s="17" t="n"/>
      <c r="AH555" s="17" t="n"/>
      <c r="AI555" s="17" t="n"/>
      <c r="AJ555" s="17" t="n"/>
    </row>
    <row r="556" ht="15.75" customHeight="1" s="44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/>
      <c r="Z556" s="17" t="n"/>
      <c r="AA556" s="17" t="n"/>
      <c r="AB556" s="17" t="n"/>
      <c r="AC556" s="17" t="n"/>
      <c r="AD556" s="17" t="n"/>
      <c r="AE556" s="17" t="n"/>
      <c r="AF556" s="17" t="n"/>
      <c r="AG556" s="17" t="n"/>
      <c r="AH556" s="17" t="n"/>
      <c r="AI556" s="17" t="n"/>
      <c r="AJ556" s="17" t="n"/>
    </row>
    <row r="557" ht="15.75" customHeight="1" s="44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/>
      <c r="Z557" s="17" t="n"/>
      <c r="AA557" s="17" t="n"/>
      <c r="AB557" s="17" t="n"/>
      <c r="AC557" s="17" t="n"/>
      <c r="AD557" s="17" t="n"/>
      <c r="AE557" s="17" t="n"/>
      <c r="AF557" s="17" t="n"/>
      <c r="AG557" s="17" t="n"/>
      <c r="AH557" s="17" t="n"/>
      <c r="AI557" s="17" t="n"/>
      <c r="AJ557" s="17" t="n"/>
    </row>
    <row r="558" ht="15.75" customHeight="1" s="44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/>
      <c r="Z558" s="17" t="n"/>
      <c r="AA558" s="17" t="n"/>
      <c r="AB558" s="17" t="n"/>
      <c r="AC558" s="17" t="n"/>
      <c r="AD558" s="17" t="n"/>
      <c r="AE558" s="17" t="n"/>
      <c r="AF558" s="17" t="n"/>
      <c r="AG558" s="17" t="n"/>
      <c r="AH558" s="17" t="n"/>
      <c r="AI558" s="17" t="n"/>
      <c r="AJ558" s="17" t="n"/>
    </row>
    <row r="559" ht="15.75" customHeight="1" s="44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7" t="n"/>
      <c r="AA559" s="17" t="n"/>
      <c r="AB559" s="17" t="n"/>
      <c r="AC559" s="17" t="n"/>
      <c r="AD559" s="17" t="n"/>
      <c r="AE559" s="17" t="n"/>
      <c r="AF559" s="17" t="n"/>
      <c r="AG559" s="17" t="n"/>
      <c r="AH559" s="17" t="n"/>
      <c r="AI559" s="17" t="n"/>
      <c r="AJ559" s="17" t="n"/>
    </row>
    <row r="560" ht="15.75" customHeight="1" s="44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/>
      <c r="Z560" s="17" t="n"/>
      <c r="AA560" s="17" t="n"/>
      <c r="AB560" s="17" t="n"/>
      <c r="AC560" s="17" t="n"/>
      <c r="AD560" s="17" t="n"/>
      <c r="AE560" s="17" t="n"/>
      <c r="AF560" s="17" t="n"/>
      <c r="AG560" s="17" t="n"/>
      <c r="AH560" s="17" t="n"/>
      <c r="AI560" s="17" t="n"/>
      <c r="AJ560" s="17" t="n"/>
    </row>
    <row r="561" ht="15.75" customHeight="1" s="44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/>
      <c r="Z561" s="17" t="n"/>
      <c r="AA561" s="17" t="n"/>
      <c r="AB561" s="17" t="n"/>
      <c r="AC561" s="17" t="n"/>
      <c r="AD561" s="17" t="n"/>
      <c r="AE561" s="17" t="n"/>
      <c r="AF561" s="17" t="n"/>
      <c r="AG561" s="17" t="n"/>
      <c r="AH561" s="17" t="n"/>
      <c r="AI561" s="17" t="n"/>
      <c r="AJ561" s="17" t="n"/>
    </row>
    <row r="562" ht="15.75" customHeight="1" s="44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/>
      <c r="Z562" s="17" t="n"/>
      <c r="AA562" s="17" t="n"/>
      <c r="AB562" s="17" t="n"/>
      <c r="AC562" s="17" t="n"/>
      <c r="AD562" s="17" t="n"/>
      <c r="AE562" s="17" t="n"/>
      <c r="AF562" s="17" t="n"/>
      <c r="AG562" s="17" t="n"/>
      <c r="AH562" s="17" t="n"/>
      <c r="AI562" s="17" t="n"/>
      <c r="AJ562" s="17" t="n"/>
    </row>
    <row r="563" ht="15.75" customHeight="1" s="44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/>
      <c r="Z563" s="17" t="n"/>
      <c r="AA563" s="17" t="n"/>
      <c r="AB563" s="17" t="n"/>
      <c r="AC563" s="17" t="n"/>
      <c r="AD563" s="17" t="n"/>
      <c r="AE563" s="17" t="n"/>
      <c r="AF563" s="17" t="n"/>
      <c r="AG563" s="17" t="n"/>
      <c r="AH563" s="17" t="n"/>
      <c r="AI563" s="17" t="n"/>
      <c r="AJ563" s="17" t="n"/>
    </row>
    <row r="564" ht="15.75" customHeight="1" s="4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/>
      <c r="Z564" s="17" t="n"/>
      <c r="AA564" s="17" t="n"/>
      <c r="AB564" s="17" t="n"/>
      <c r="AC564" s="17" t="n"/>
      <c r="AD564" s="17" t="n"/>
      <c r="AE564" s="17" t="n"/>
      <c r="AF564" s="17" t="n"/>
      <c r="AG564" s="17" t="n"/>
      <c r="AH564" s="17" t="n"/>
      <c r="AI564" s="17" t="n"/>
      <c r="AJ564" s="17" t="n"/>
    </row>
    <row r="565" ht="15.75" customHeight="1" s="44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/>
      <c r="Z565" s="17" t="n"/>
      <c r="AA565" s="17" t="n"/>
      <c r="AB565" s="17" t="n"/>
      <c r="AC565" s="17" t="n"/>
      <c r="AD565" s="17" t="n"/>
      <c r="AE565" s="17" t="n"/>
      <c r="AF565" s="17" t="n"/>
      <c r="AG565" s="17" t="n"/>
      <c r="AH565" s="17" t="n"/>
      <c r="AI565" s="17" t="n"/>
      <c r="AJ565" s="17" t="n"/>
    </row>
    <row r="566" ht="15.75" customHeight="1" s="44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7" t="n"/>
      <c r="Z566" s="17" t="n"/>
      <c r="AA566" s="17" t="n"/>
      <c r="AB566" s="17" t="n"/>
      <c r="AC566" s="17" t="n"/>
      <c r="AD566" s="17" t="n"/>
      <c r="AE566" s="17" t="n"/>
      <c r="AF566" s="17" t="n"/>
      <c r="AG566" s="17" t="n"/>
      <c r="AH566" s="17" t="n"/>
      <c r="AI566" s="17" t="n"/>
      <c r="AJ566" s="17" t="n"/>
    </row>
    <row r="567" ht="15.75" customHeight="1" s="44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/>
      <c r="Z567" s="17" t="n"/>
      <c r="AA567" s="17" t="n"/>
      <c r="AB567" s="17" t="n"/>
      <c r="AC567" s="17" t="n"/>
      <c r="AD567" s="17" t="n"/>
      <c r="AE567" s="17" t="n"/>
      <c r="AF567" s="17" t="n"/>
      <c r="AG567" s="17" t="n"/>
      <c r="AH567" s="17" t="n"/>
      <c r="AI567" s="17" t="n"/>
      <c r="AJ567" s="17" t="n"/>
    </row>
    <row r="568" ht="15.75" customHeight="1" s="44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/>
      <c r="Z568" s="17" t="n"/>
      <c r="AA568" s="17" t="n"/>
      <c r="AB568" s="17" t="n"/>
      <c r="AC568" s="17" t="n"/>
      <c r="AD568" s="17" t="n"/>
      <c r="AE568" s="17" t="n"/>
      <c r="AF568" s="17" t="n"/>
      <c r="AG568" s="17" t="n"/>
      <c r="AH568" s="17" t="n"/>
      <c r="AI568" s="17" t="n"/>
      <c r="AJ568" s="17" t="n"/>
    </row>
    <row r="569" ht="15.75" customHeight="1" s="44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/>
      <c r="Z569" s="17" t="n"/>
      <c r="AA569" s="17" t="n"/>
      <c r="AB569" s="17" t="n"/>
      <c r="AC569" s="17" t="n"/>
      <c r="AD569" s="17" t="n"/>
      <c r="AE569" s="17" t="n"/>
      <c r="AF569" s="17" t="n"/>
      <c r="AG569" s="17" t="n"/>
      <c r="AH569" s="17" t="n"/>
      <c r="AI569" s="17" t="n"/>
      <c r="AJ569" s="17" t="n"/>
    </row>
    <row r="570" ht="15.75" customHeight="1" s="44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/>
      <c r="Z570" s="17" t="n"/>
      <c r="AA570" s="17" t="n"/>
      <c r="AB570" s="17" t="n"/>
      <c r="AC570" s="17" t="n"/>
      <c r="AD570" s="17" t="n"/>
      <c r="AE570" s="17" t="n"/>
      <c r="AF570" s="17" t="n"/>
      <c r="AG570" s="17" t="n"/>
      <c r="AH570" s="17" t="n"/>
      <c r="AI570" s="17" t="n"/>
      <c r="AJ570" s="17" t="n"/>
    </row>
    <row r="571" ht="15.75" customHeight="1" s="44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/>
      <c r="Z571" s="17" t="n"/>
      <c r="AA571" s="17" t="n"/>
      <c r="AB571" s="17" t="n"/>
      <c r="AC571" s="17" t="n"/>
      <c r="AD571" s="17" t="n"/>
      <c r="AE571" s="17" t="n"/>
      <c r="AF571" s="17" t="n"/>
      <c r="AG571" s="17" t="n"/>
      <c r="AH571" s="17" t="n"/>
      <c r="AI571" s="17" t="n"/>
      <c r="AJ571" s="17" t="n"/>
    </row>
    <row r="572" ht="15.75" customHeight="1" s="44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/>
      <c r="Z572" s="17" t="n"/>
      <c r="AA572" s="17" t="n"/>
      <c r="AB572" s="17" t="n"/>
      <c r="AC572" s="17" t="n"/>
      <c r="AD572" s="17" t="n"/>
      <c r="AE572" s="17" t="n"/>
      <c r="AF572" s="17" t="n"/>
      <c r="AG572" s="17" t="n"/>
      <c r="AH572" s="17" t="n"/>
      <c r="AI572" s="17" t="n"/>
      <c r="AJ572" s="17" t="n"/>
    </row>
    <row r="573" ht="15.75" customHeight="1" s="44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/>
      <c r="Z573" s="17" t="n"/>
      <c r="AA573" s="17" t="n"/>
      <c r="AB573" s="17" t="n"/>
      <c r="AC573" s="17" t="n"/>
      <c r="AD573" s="17" t="n"/>
      <c r="AE573" s="17" t="n"/>
      <c r="AF573" s="17" t="n"/>
      <c r="AG573" s="17" t="n"/>
      <c r="AH573" s="17" t="n"/>
      <c r="AI573" s="17" t="n"/>
      <c r="AJ573" s="17" t="n"/>
    </row>
    <row r="574" ht="15.75" customHeight="1" s="4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/>
      <c r="Z574" s="17" t="n"/>
      <c r="AA574" s="17" t="n"/>
      <c r="AB574" s="17" t="n"/>
      <c r="AC574" s="17" t="n"/>
      <c r="AD574" s="17" t="n"/>
      <c r="AE574" s="17" t="n"/>
      <c r="AF574" s="17" t="n"/>
      <c r="AG574" s="17" t="n"/>
      <c r="AH574" s="17" t="n"/>
      <c r="AI574" s="17" t="n"/>
      <c r="AJ574" s="17" t="n"/>
    </row>
    <row r="575" ht="15.75" customHeight="1" s="44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/>
      <c r="Z575" s="17" t="n"/>
      <c r="AA575" s="17" t="n"/>
      <c r="AB575" s="17" t="n"/>
      <c r="AC575" s="17" t="n"/>
      <c r="AD575" s="17" t="n"/>
      <c r="AE575" s="17" t="n"/>
      <c r="AF575" s="17" t="n"/>
      <c r="AG575" s="17" t="n"/>
      <c r="AH575" s="17" t="n"/>
      <c r="AI575" s="17" t="n"/>
      <c r="AJ575" s="17" t="n"/>
    </row>
    <row r="576" ht="15.75" customHeight="1" s="44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/>
      <c r="Z576" s="17" t="n"/>
      <c r="AA576" s="17" t="n"/>
      <c r="AB576" s="17" t="n"/>
      <c r="AC576" s="17" t="n"/>
      <c r="AD576" s="17" t="n"/>
      <c r="AE576" s="17" t="n"/>
      <c r="AF576" s="17" t="n"/>
      <c r="AG576" s="17" t="n"/>
      <c r="AH576" s="17" t="n"/>
      <c r="AI576" s="17" t="n"/>
      <c r="AJ576" s="17" t="n"/>
    </row>
    <row r="577" ht="15.75" customHeight="1" s="44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/>
      <c r="Z577" s="17" t="n"/>
      <c r="AA577" s="17" t="n"/>
      <c r="AB577" s="17" t="n"/>
      <c r="AC577" s="17" t="n"/>
      <c r="AD577" s="17" t="n"/>
      <c r="AE577" s="17" t="n"/>
      <c r="AF577" s="17" t="n"/>
      <c r="AG577" s="17" t="n"/>
      <c r="AH577" s="17" t="n"/>
      <c r="AI577" s="17" t="n"/>
      <c r="AJ577" s="17" t="n"/>
    </row>
    <row r="578" ht="15.75" customHeight="1" s="44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/>
      <c r="Z578" s="17" t="n"/>
      <c r="AA578" s="17" t="n"/>
      <c r="AB578" s="17" t="n"/>
      <c r="AC578" s="17" t="n"/>
      <c r="AD578" s="17" t="n"/>
      <c r="AE578" s="17" t="n"/>
      <c r="AF578" s="17" t="n"/>
      <c r="AG578" s="17" t="n"/>
      <c r="AH578" s="17" t="n"/>
      <c r="AI578" s="17" t="n"/>
      <c r="AJ578" s="17" t="n"/>
    </row>
    <row r="579" ht="15.75" customHeight="1" s="44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/>
      <c r="Z579" s="17" t="n"/>
      <c r="AA579" s="17" t="n"/>
      <c r="AB579" s="17" t="n"/>
      <c r="AC579" s="17" t="n"/>
      <c r="AD579" s="17" t="n"/>
      <c r="AE579" s="17" t="n"/>
      <c r="AF579" s="17" t="n"/>
      <c r="AG579" s="17" t="n"/>
      <c r="AH579" s="17" t="n"/>
      <c r="AI579" s="17" t="n"/>
      <c r="AJ579" s="17" t="n"/>
    </row>
    <row r="580" ht="15.75" customHeight="1" s="44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7" t="n"/>
      <c r="AA580" s="17" t="n"/>
      <c r="AB580" s="17" t="n"/>
      <c r="AC580" s="17" t="n"/>
      <c r="AD580" s="17" t="n"/>
      <c r="AE580" s="17" t="n"/>
      <c r="AF580" s="17" t="n"/>
      <c r="AG580" s="17" t="n"/>
      <c r="AH580" s="17" t="n"/>
      <c r="AI580" s="17" t="n"/>
      <c r="AJ580" s="17" t="n"/>
    </row>
    <row r="581" ht="15.75" customHeight="1" s="44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/>
      <c r="Z581" s="17" t="n"/>
      <c r="AA581" s="17" t="n"/>
      <c r="AB581" s="17" t="n"/>
      <c r="AC581" s="17" t="n"/>
      <c r="AD581" s="17" t="n"/>
      <c r="AE581" s="17" t="n"/>
      <c r="AF581" s="17" t="n"/>
      <c r="AG581" s="17" t="n"/>
      <c r="AH581" s="17" t="n"/>
      <c r="AI581" s="17" t="n"/>
      <c r="AJ581" s="17" t="n"/>
    </row>
    <row r="582" ht="15.75" customHeight="1" s="44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/>
      <c r="Z582" s="17" t="n"/>
      <c r="AA582" s="17" t="n"/>
      <c r="AB582" s="17" t="n"/>
      <c r="AC582" s="17" t="n"/>
      <c r="AD582" s="17" t="n"/>
      <c r="AE582" s="17" t="n"/>
      <c r="AF582" s="17" t="n"/>
      <c r="AG582" s="17" t="n"/>
      <c r="AH582" s="17" t="n"/>
      <c r="AI582" s="17" t="n"/>
      <c r="AJ582" s="17" t="n"/>
    </row>
    <row r="583" ht="15.75" customHeight="1" s="44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/>
      <c r="Z583" s="17" t="n"/>
      <c r="AA583" s="17" t="n"/>
      <c r="AB583" s="17" t="n"/>
      <c r="AC583" s="17" t="n"/>
      <c r="AD583" s="17" t="n"/>
      <c r="AE583" s="17" t="n"/>
      <c r="AF583" s="17" t="n"/>
      <c r="AG583" s="17" t="n"/>
      <c r="AH583" s="17" t="n"/>
      <c r="AI583" s="17" t="n"/>
      <c r="AJ583" s="17" t="n"/>
    </row>
    <row r="584" ht="15.75" customHeight="1" s="4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/>
      <c r="Z584" s="17" t="n"/>
      <c r="AA584" s="17" t="n"/>
      <c r="AB584" s="17" t="n"/>
      <c r="AC584" s="17" t="n"/>
      <c r="AD584" s="17" t="n"/>
      <c r="AE584" s="17" t="n"/>
      <c r="AF584" s="17" t="n"/>
      <c r="AG584" s="17" t="n"/>
      <c r="AH584" s="17" t="n"/>
      <c r="AI584" s="17" t="n"/>
      <c r="AJ584" s="17" t="n"/>
    </row>
    <row r="585" ht="15.75" customHeight="1" s="44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/>
      <c r="Z585" s="17" t="n"/>
      <c r="AA585" s="17" t="n"/>
      <c r="AB585" s="17" t="n"/>
      <c r="AC585" s="17" t="n"/>
      <c r="AD585" s="17" t="n"/>
      <c r="AE585" s="17" t="n"/>
      <c r="AF585" s="17" t="n"/>
      <c r="AG585" s="17" t="n"/>
      <c r="AH585" s="17" t="n"/>
      <c r="AI585" s="17" t="n"/>
      <c r="AJ585" s="17" t="n"/>
    </row>
    <row r="586" ht="15.75" customHeight="1" s="44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7" t="n"/>
      <c r="Z586" s="17" t="n"/>
      <c r="AA586" s="17" t="n"/>
      <c r="AB586" s="17" t="n"/>
      <c r="AC586" s="17" t="n"/>
      <c r="AD586" s="17" t="n"/>
      <c r="AE586" s="17" t="n"/>
      <c r="AF586" s="17" t="n"/>
      <c r="AG586" s="17" t="n"/>
      <c r="AH586" s="17" t="n"/>
      <c r="AI586" s="17" t="n"/>
      <c r="AJ586" s="17" t="n"/>
    </row>
    <row r="587" ht="15.75" customHeight="1" s="44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/>
      <c r="Z587" s="17" t="n"/>
      <c r="AA587" s="17" t="n"/>
      <c r="AB587" s="17" t="n"/>
      <c r="AC587" s="17" t="n"/>
      <c r="AD587" s="17" t="n"/>
      <c r="AE587" s="17" t="n"/>
      <c r="AF587" s="17" t="n"/>
      <c r="AG587" s="17" t="n"/>
      <c r="AH587" s="17" t="n"/>
      <c r="AI587" s="17" t="n"/>
      <c r="AJ587" s="17" t="n"/>
    </row>
    <row r="588" ht="15.75" customHeight="1" s="44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/>
      <c r="Z588" s="17" t="n"/>
      <c r="AA588" s="17" t="n"/>
      <c r="AB588" s="17" t="n"/>
      <c r="AC588" s="17" t="n"/>
      <c r="AD588" s="17" t="n"/>
      <c r="AE588" s="17" t="n"/>
      <c r="AF588" s="17" t="n"/>
      <c r="AG588" s="17" t="n"/>
      <c r="AH588" s="17" t="n"/>
      <c r="AI588" s="17" t="n"/>
      <c r="AJ588" s="17" t="n"/>
    </row>
    <row r="589" ht="15.75" customHeight="1" s="44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/>
      <c r="Z589" s="17" t="n"/>
      <c r="AA589" s="17" t="n"/>
      <c r="AB589" s="17" t="n"/>
      <c r="AC589" s="17" t="n"/>
      <c r="AD589" s="17" t="n"/>
      <c r="AE589" s="17" t="n"/>
      <c r="AF589" s="17" t="n"/>
      <c r="AG589" s="17" t="n"/>
      <c r="AH589" s="17" t="n"/>
      <c r="AI589" s="17" t="n"/>
      <c r="AJ589" s="17" t="n"/>
    </row>
    <row r="590" ht="15.75" customHeight="1" s="44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/>
      <c r="Z590" s="17" t="n"/>
      <c r="AA590" s="17" t="n"/>
      <c r="AB590" s="17" t="n"/>
      <c r="AC590" s="17" t="n"/>
      <c r="AD590" s="17" t="n"/>
      <c r="AE590" s="17" t="n"/>
      <c r="AF590" s="17" t="n"/>
      <c r="AG590" s="17" t="n"/>
      <c r="AH590" s="17" t="n"/>
      <c r="AI590" s="17" t="n"/>
      <c r="AJ590" s="17" t="n"/>
    </row>
    <row r="591" ht="15.75" customHeight="1" s="44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/>
      <c r="Z591" s="17" t="n"/>
      <c r="AA591" s="17" t="n"/>
      <c r="AB591" s="17" t="n"/>
      <c r="AC591" s="17" t="n"/>
      <c r="AD591" s="17" t="n"/>
      <c r="AE591" s="17" t="n"/>
      <c r="AF591" s="17" t="n"/>
      <c r="AG591" s="17" t="n"/>
      <c r="AH591" s="17" t="n"/>
      <c r="AI591" s="17" t="n"/>
      <c r="AJ591" s="17" t="n"/>
    </row>
    <row r="592" ht="15.75" customHeight="1" s="44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/>
      <c r="Z592" s="17" t="n"/>
      <c r="AA592" s="17" t="n"/>
      <c r="AB592" s="17" t="n"/>
      <c r="AC592" s="17" t="n"/>
      <c r="AD592" s="17" t="n"/>
      <c r="AE592" s="17" t="n"/>
      <c r="AF592" s="17" t="n"/>
      <c r="AG592" s="17" t="n"/>
      <c r="AH592" s="17" t="n"/>
      <c r="AI592" s="17" t="n"/>
      <c r="AJ592" s="17" t="n"/>
    </row>
    <row r="593" ht="15.75" customHeight="1" s="44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/>
      <c r="Z593" s="17" t="n"/>
      <c r="AA593" s="17" t="n"/>
      <c r="AB593" s="17" t="n"/>
      <c r="AC593" s="17" t="n"/>
      <c r="AD593" s="17" t="n"/>
      <c r="AE593" s="17" t="n"/>
      <c r="AF593" s="17" t="n"/>
      <c r="AG593" s="17" t="n"/>
      <c r="AH593" s="17" t="n"/>
      <c r="AI593" s="17" t="n"/>
      <c r="AJ593" s="17" t="n"/>
    </row>
    <row r="594" ht="15.75" customHeight="1" s="4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/>
      <c r="Z594" s="17" t="n"/>
      <c r="AA594" s="17" t="n"/>
      <c r="AB594" s="17" t="n"/>
      <c r="AC594" s="17" t="n"/>
      <c r="AD594" s="17" t="n"/>
      <c r="AE594" s="17" t="n"/>
      <c r="AF594" s="17" t="n"/>
      <c r="AG594" s="17" t="n"/>
      <c r="AH594" s="17" t="n"/>
      <c r="AI594" s="17" t="n"/>
      <c r="AJ594" s="17" t="n"/>
    </row>
    <row r="595" ht="15.75" customHeight="1" s="44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7" t="n"/>
      <c r="Z595" s="17" t="n"/>
      <c r="AA595" s="17" t="n"/>
      <c r="AB595" s="17" t="n"/>
      <c r="AC595" s="17" t="n"/>
      <c r="AD595" s="17" t="n"/>
      <c r="AE595" s="17" t="n"/>
      <c r="AF595" s="17" t="n"/>
      <c r="AG595" s="17" t="n"/>
      <c r="AH595" s="17" t="n"/>
      <c r="AI595" s="17" t="n"/>
      <c r="AJ595" s="17" t="n"/>
    </row>
    <row r="596" ht="15.75" customHeight="1" s="44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/>
      <c r="Z596" s="17" t="n"/>
      <c r="AA596" s="17" t="n"/>
      <c r="AB596" s="17" t="n"/>
      <c r="AC596" s="17" t="n"/>
      <c r="AD596" s="17" t="n"/>
      <c r="AE596" s="17" t="n"/>
      <c r="AF596" s="17" t="n"/>
      <c r="AG596" s="17" t="n"/>
      <c r="AH596" s="17" t="n"/>
      <c r="AI596" s="17" t="n"/>
      <c r="AJ596" s="17" t="n"/>
    </row>
    <row r="597" ht="15.75" customHeight="1" s="44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/>
      <c r="Z597" s="17" t="n"/>
      <c r="AA597" s="17" t="n"/>
      <c r="AB597" s="17" t="n"/>
      <c r="AC597" s="17" t="n"/>
      <c r="AD597" s="17" t="n"/>
      <c r="AE597" s="17" t="n"/>
      <c r="AF597" s="17" t="n"/>
      <c r="AG597" s="17" t="n"/>
      <c r="AH597" s="17" t="n"/>
      <c r="AI597" s="17" t="n"/>
      <c r="AJ597" s="17" t="n"/>
    </row>
    <row r="598" ht="15.75" customHeight="1" s="44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/>
      <c r="Z598" s="17" t="n"/>
      <c r="AA598" s="17" t="n"/>
      <c r="AB598" s="17" t="n"/>
      <c r="AC598" s="17" t="n"/>
      <c r="AD598" s="17" t="n"/>
      <c r="AE598" s="17" t="n"/>
      <c r="AF598" s="17" t="n"/>
      <c r="AG598" s="17" t="n"/>
      <c r="AH598" s="17" t="n"/>
      <c r="AI598" s="17" t="n"/>
      <c r="AJ598" s="17" t="n"/>
    </row>
    <row r="599" ht="15.75" customHeight="1" s="44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/>
      <c r="Z599" s="17" t="n"/>
      <c r="AA599" s="17" t="n"/>
      <c r="AB599" s="17" t="n"/>
      <c r="AC599" s="17" t="n"/>
      <c r="AD599" s="17" t="n"/>
      <c r="AE599" s="17" t="n"/>
      <c r="AF599" s="17" t="n"/>
      <c r="AG599" s="17" t="n"/>
      <c r="AH599" s="17" t="n"/>
      <c r="AI599" s="17" t="n"/>
      <c r="AJ599" s="17" t="n"/>
    </row>
    <row r="600" ht="15.75" customHeight="1" s="44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/>
      <c r="Z600" s="17" t="n"/>
      <c r="AA600" s="17" t="n"/>
      <c r="AB600" s="17" t="n"/>
      <c r="AC600" s="17" t="n"/>
      <c r="AD600" s="17" t="n"/>
      <c r="AE600" s="17" t="n"/>
      <c r="AF600" s="17" t="n"/>
      <c r="AG600" s="17" t="n"/>
      <c r="AH600" s="17" t="n"/>
      <c r="AI600" s="17" t="n"/>
      <c r="AJ600" s="17" t="n"/>
    </row>
    <row r="601" ht="15.75" customHeight="1" s="44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/>
      <c r="Z601" s="17" t="n"/>
      <c r="AA601" s="17" t="n"/>
      <c r="AB601" s="17" t="n"/>
      <c r="AC601" s="17" t="n"/>
      <c r="AD601" s="17" t="n"/>
      <c r="AE601" s="17" t="n"/>
      <c r="AF601" s="17" t="n"/>
      <c r="AG601" s="17" t="n"/>
      <c r="AH601" s="17" t="n"/>
      <c r="AI601" s="17" t="n"/>
      <c r="AJ601" s="17" t="n"/>
    </row>
    <row r="602" ht="15.75" customHeight="1" s="44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/>
      <c r="Z602" s="17" t="n"/>
      <c r="AA602" s="17" t="n"/>
      <c r="AB602" s="17" t="n"/>
      <c r="AC602" s="17" t="n"/>
      <c r="AD602" s="17" t="n"/>
      <c r="AE602" s="17" t="n"/>
      <c r="AF602" s="17" t="n"/>
      <c r="AG602" s="17" t="n"/>
      <c r="AH602" s="17" t="n"/>
      <c r="AI602" s="17" t="n"/>
      <c r="AJ602" s="17" t="n"/>
    </row>
    <row r="603" ht="15.75" customHeight="1" s="44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/>
      <c r="Z603" s="17" t="n"/>
      <c r="AA603" s="17" t="n"/>
      <c r="AB603" s="17" t="n"/>
      <c r="AC603" s="17" t="n"/>
      <c r="AD603" s="17" t="n"/>
      <c r="AE603" s="17" t="n"/>
      <c r="AF603" s="17" t="n"/>
      <c r="AG603" s="17" t="n"/>
      <c r="AH603" s="17" t="n"/>
      <c r="AI603" s="17" t="n"/>
      <c r="AJ603" s="17" t="n"/>
    </row>
    <row r="604" ht="15.75" customHeight="1" s="4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/>
      <c r="Z604" s="17" t="n"/>
      <c r="AA604" s="17" t="n"/>
      <c r="AB604" s="17" t="n"/>
      <c r="AC604" s="17" t="n"/>
      <c r="AD604" s="17" t="n"/>
      <c r="AE604" s="17" t="n"/>
      <c r="AF604" s="17" t="n"/>
      <c r="AG604" s="17" t="n"/>
      <c r="AH604" s="17" t="n"/>
      <c r="AI604" s="17" t="n"/>
      <c r="AJ604" s="17" t="n"/>
    </row>
    <row r="605" ht="15.75" customHeight="1" s="44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7" t="n"/>
      <c r="AA605" s="17" t="n"/>
      <c r="AB605" s="17" t="n"/>
      <c r="AC605" s="17" t="n"/>
      <c r="AD605" s="17" t="n"/>
      <c r="AE605" s="17" t="n"/>
      <c r="AF605" s="17" t="n"/>
      <c r="AG605" s="17" t="n"/>
      <c r="AH605" s="17" t="n"/>
      <c r="AI605" s="17" t="n"/>
      <c r="AJ605" s="17" t="n"/>
    </row>
    <row r="606" ht="15.75" customHeight="1" s="44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/>
      <c r="Z606" s="17" t="n"/>
      <c r="AA606" s="17" t="n"/>
      <c r="AB606" s="17" t="n"/>
      <c r="AC606" s="17" t="n"/>
      <c r="AD606" s="17" t="n"/>
      <c r="AE606" s="17" t="n"/>
      <c r="AF606" s="17" t="n"/>
      <c r="AG606" s="17" t="n"/>
      <c r="AH606" s="17" t="n"/>
      <c r="AI606" s="17" t="n"/>
      <c r="AJ606" s="17" t="n"/>
    </row>
    <row r="607" ht="15.75" customHeight="1" s="44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/>
      <c r="Z607" s="17" t="n"/>
      <c r="AA607" s="17" t="n"/>
      <c r="AB607" s="17" t="n"/>
      <c r="AC607" s="17" t="n"/>
      <c r="AD607" s="17" t="n"/>
      <c r="AE607" s="17" t="n"/>
      <c r="AF607" s="17" t="n"/>
      <c r="AG607" s="17" t="n"/>
      <c r="AH607" s="17" t="n"/>
      <c r="AI607" s="17" t="n"/>
      <c r="AJ607" s="17" t="n"/>
    </row>
    <row r="608" ht="15.75" customHeight="1" s="44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/>
      <c r="Z608" s="17" t="n"/>
      <c r="AA608" s="17" t="n"/>
      <c r="AB608" s="17" t="n"/>
      <c r="AC608" s="17" t="n"/>
      <c r="AD608" s="17" t="n"/>
      <c r="AE608" s="17" t="n"/>
      <c r="AF608" s="17" t="n"/>
      <c r="AG608" s="17" t="n"/>
      <c r="AH608" s="17" t="n"/>
      <c r="AI608" s="17" t="n"/>
      <c r="AJ608" s="17" t="n"/>
    </row>
    <row r="609" ht="15.75" customHeight="1" s="44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/>
      <c r="Z609" s="17" t="n"/>
      <c r="AA609" s="17" t="n"/>
      <c r="AB609" s="17" t="n"/>
      <c r="AC609" s="17" t="n"/>
      <c r="AD609" s="17" t="n"/>
      <c r="AE609" s="17" t="n"/>
      <c r="AF609" s="17" t="n"/>
      <c r="AG609" s="17" t="n"/>
      <c r="AH609" s="17" t="n"/>
      <c r="AI609" s="17" t="n"/>
      <c r="AJ609" s="17" t="n"/>
    </row>
    <row r="610" ht="15.75" customHeight="1" s="44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/>
      <c r="Z610" s="17" t="n"/>
      <c r="AA610" s="17" t="n"/>
      <c r="AB610" s="17" t="n"/>
      <c r="AC610" s="17" t="n"/>
      <c r="AD610" s="17" t="n"/>
      <c r="AE610" s="17" t="n"/>
      <c r="AF610" s="17" t="n"/>
      <c r="AG610" s="17" t="n"/>
      <c r="AH610" s="17" t="n"/>
      <c r="AI610" s="17" t="n"/>
      <c r="AJ610" s="17" t="n"/>
    </row>
    <row r="611" ht="15.75" customHeight="1" s="44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/>
      <c r="Z611" s="17" t="n"/>
      <c r="AA611" s="17" t="n"/>
      <c r="AB611" s="17" t="n"/>
      <c r="AC611" s="17" t="n"/>
      <c r="AD611" s="17" t="n"/>
      <c r="AE611" s="17" t="n"/>
      <c r="AF611" s="17" t="n"/>
      <c r="AG611" s="17" t="n"/>
      <c r="AH611" s="17" t="n"/>
      <c r="AI611" s="17" t="n"/>
      <c r="AJ611" s="17" t="n"/>
    </row>
    <row r="612" ht="15.75" customHeight="1" s="44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/>
      <c r="Z612" s="17" t="n"/>
      <c r="AA612" s="17" t="n"/>
      <c r="AB612" s="17" t="n"/>
      <c r="AC612" s="17" t="n"/>
      <c r="AD612" s="17" t="n"/>
      <c r="AE612" s="17" t="n"/>
      <c r="AF612" s="17" t="n"/>
      <c r="AG612" s="17" t="n"/>
      <c r="AH612" s="17" t="n"/>
      <c r="AI612" s="17" t="n"/>
      <c r="AJ612" s="17" t="n"/>
    </row>
    <row r="613" ht="15.75" customHeight="1" s="44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/>
      <c r="Z613" s="17" t="n"/>
      <c r="AA613" s="17" t="n"/>
      <c r="AB613" s="17" t="n"/>
      <c r="AC613" s="17" t="n"/>
      <c r="AD613" s="17" t="n"/>
      <c r="AE613" s="17" t="n"/>
      <c r="AF613" s="17" t="n"/>
      <c r="AG613" s="17" t="n"/>
      <c r="AH613" s="17" t="n"/>
      <c r="AI613" s="17" t="n"/>
      <c r="AJ613" s="17" t="n"/>
    </row>
    <row r="614" ht="15.75" customHeight="1" s="4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/>
      <c r="Z614" s="17" t="n"/>
      <c r="AA614" s="17" t="n"/>
      <c r="AB614" s="17" t="n"/>
      <c r="AC614" s="17" t="n"/>
      <c r="AD614" s="17" t="n"/>
      <c r="AE614" s="17" t="n"/>
      <c r="AF614" s="17" t="n"/>
      <c r="AG614" s="17" t="n"/>
      <c r="AH614" s="17" t="n"/>
      <c r="AI614" s="17" t="n"/>
      <c r="AJ614" s="17" t="n"/>
    </row>
    <row r="615" ht="15.75" customHeight="1" s="44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/>
      <c r="Z615" s="17" t="n"/>
      <c r="AA615" s="17" t="n"/>
      <c r="AB615" s="17" t="n"/>
      <c r="AC615" s="17" t="n"/>
      <c r="AD615" s="17" t="n"/>
      <c r="AE615" s="17" t="n"/>
      <c r="AF615" s="17" t="n"/>
      <c r="AG615" s="17" t="n"/>
      <c r="AH615" s="17" t="n"/>
      <c r="AI615" s="17" t="n"/>
      <c r="AJ615" s="17" t="n"/>
    </row>
    <row r="616" ht="15.75" customHeight="1" s="44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/>
      <c r="Z616" s="17" t="n"/>
      <c r="AA616" s="17" t="n"/>
      <c r="AB616" s="17" t="n"/>
      <c r="AC616" s="17" t="n"/>
      <c r="AD616" s="17" t="n"/>
      <c r="AE616" s="17" t="n"/>
      <c r="AF616" s="17" t="n"/>
      <c r="AG616" s="17" t="n"/>
      <c r="AH616" s="17" t="n"/>
      <c r="AI616" s="17" t="n"/>
      <c r="AJ616" s="17" t="n"/>
    </row>
    <row r="617" ht="15.75" customHeight="1" s="44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/>
      <c r="Z617" s="17" t="n"/>
      <c r="AA617" s="17" t="n"/>
      <c r="AB617" s="17" t="n"/>
      <c r="AC617" s="17" t="n"/>
      <c r="AD617" s="17" t="n"/>
      <c r="AE617" s="17" t="n"/>
      <c r="AF617" s="17" t="n"/>
      <c r="AG617" s="17" t="n"/>
      <c r="AH617" s="17" t="n"/>
      <c r="AI617" s="17" t="n"/>
      <c r="AJ617" s="17" t="n"/>
    </row>
    <row r="618" ht="15.75" customHeight="1" s="44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/>
      <c r="Z618" s="17" t="n"/>
      <c r="AA618" s="17" t="n"/>
      <c r="AB618" s="17" t="n"/>
      <c r="AC618" s="17" t="n"/>
      <c r="AD618" s="17" t="n"/>
      <c r="AE618" s="17" t="n"/>
      <c r="AF618" s="17" t="n"/>
      <c r="AG618" s="17" t="n"/>
      <c r="AH618" s="17" t="n"/>
      <c r="AI618" s="17" t="n"/>
      <c r="AJ618" s="17" t="n"/>
    </row>
    <row r="619" ht="15.75" customHeight="1" s="44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/>
      <c r="Z619" s="17" t="n"/>
      <c r="AA619" s="17" t="n"/>
      <c r="AB619" s="17" t="n"/>
      <c r="AC619" s="17" t="n"/>
      <c r="AD619" s="17" t="n"/>
      <c r="AE619" s="17" t="n"/>
      <c r="AF619" s="17" t="n"/>
      <c r="AG619" s="17" t="n"/>
      <c r="AH619" s="17" t="n"/>
      <c r="AI619" s="17" t="n"/>
      <c r="AJ619" s="17" t="n"/>
    </row>
    <row r="620" ht="15.75" customHeight="1" s="44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/>
      <c r="Z620" s="17" t="n"/>
      <c r="AA620" s="17" t="n"/>
      <c r="AB620" s="17" t="n"/>
      <c r="AC620" s="17" t="n"/>
      <c r="AD620" s="17" t="n"/>
      <c r="AE620" s="17" t="n"/>
      <c r="AF620" s="17" t="n"/>
      <c r="AG620" s="17" t="n"/>
      <c r="AH620" s="17" t="n"/>
      <c r="AI620" s="17" t="n"/>
      <c r="AJ620" s="17" t="n"/>
    </row>
    <row r="621" ht="15.75" customHeight="1" s="44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/>
      <c r="Z621" s="17" t="n"/>
      <c r="AA621" s="17" t="n"/>
      <c r="AB621" s="17" t="n"/>
      <c r="AC621" s="17" t="n"/>
      <c r="AD621" s="17" t="n"/>
      <c r="AE621" s="17" t="n"/>
      <c r="AF621" s="17" t="n"/>
      <c r="AG621" s="17" t="n"/>
      <c r="AH621" s="17" t="n"/>
      <c r="AI621" s="17" t="n"/>
      <c r="AJ621" s="17" t="n"/>
    </row>
    <row r="622" ht="15.75" customHeight="1" s="44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/>
      <c r="Z622" s="17" t="n"/>
      <c r="AA622" s="17" t="n"/>
      <c r="AB622" s="17" t="n"/>
      <c r="AC622" s="17" t="n"/>
      <c r="AD622" s="17" t="n"/>
      <c r="AE622" s="17" t="n"/>
      <c r="AF622" s="17" t="n"/>
      <c r="AG622" s="17" t="n"/>
      <c r="AH622" s="17" t="n"/>
      <c r="AI622" s="17" t="n"/>
      <c r="AJ622" s="17" t="n"/>
    </row>
    <row r="623" ht="15.75" customHeight="1" s="44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/>
      <c r="Z623" s="17" t="n"/>
      <c r="AA623" s="17" t="n"/>
      <c r="AB623" s="17" t="n"/>
      <c r="AC623" s="17" t="n"/>
      <c r="AD623" s="17" t="n"/>
      <c r="AE623" s="17" t="n"/>
      <c r="AF623" s="17" t="n"/>
      <c r="AG623" s="17" t="n"/>
      <c r="AH623" s="17" t="n"/>
      <c r="AI623" s="17" t="n"/>
      <c r="AJ623" s="17" t="n"/>
    </row>
    <row r="624" ht="15.75" customHeight="1" s="4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/>
      <c r="Z624" s="17" t="n"/>
      <c r="AA624" s="17" t="n"/>
      <c r="AB624" s="17" t="n"/>
      <c r="AC624" s="17" t="n"/>
      <c r="AD624" s="17" t="n"/>
      <c r="AE624" s="17" t="n"/>
      <c r="AF624" s="17" t="n"/>
      <c r="AG624" s="17" t="n"/>
      <c r="AH624" s="17" t="n"/>
      <c r="AI624" s="17" t="n"/>
      <c r="AJ624" s="17" t="n"/>
    </row>
    <row r="625" ht="15.75" customHeight="1" s="44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/>
      <c r="Z625" s="17" t="n"/>
      <c r="AA625" s="17" t="n"/>
      <c r="AB625" s="17" t="n"/>
      <c r="AC625" s="17" t="n"/>
      <c r="AD625" s="17" t="n"/>
      <c r="AE625" s="17" t="n"/>
      <c r="AF625" s="17" t="n"/>
      <c r="AG625" s="17" t="n"/>
      <c r="AH625" s="17" t="n"/>
      <c r="AI625" s="17" t="n"/>
      <c r="AJ625" s="17" t="n"/>
    </row>
    <row r="626" ht="15.75" customHeight="1" s="44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/>
      <c r="Z626" s="17" t="n"/>
      <c r="AA626" s="17" t="n"/>
      <c r="AB626" s="17" t="n"/>
      <c r="AC626" s="17" t="n"/>
      <c r="AD626" s="17" t="n"/>
      <c r="AE626" s="17" t="n"/>
      <c r="AF626" s="17" t="n"/>
      <c r="AG626" s="17" t="n"/>
      <c r="AH626" s="17" t="n"/>
      <c r="AI626" s="17" t="n"/>
      <c r="AJ626" s="17" t="n"/>
    </row>
    <row r="627" ht="15.75" customHeight="1" s="44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/>
      <c r="Z627" s="17" t="n"/>
      <c r="AA627" s="17" t="n"/>
      <c r="AB627" s="17" t="n"/>
      <c r="AC627" s="17" t="n"/>
      <c r="AD627" s="17" t="n"/>
      <c r="AE627" s="17" t="n"/>
      <c r="AF627" s="17" t="n"/>
      <c r="AG627" s="17" t="n"/>
      <c r="AH627" s="17" t="n"/>
      <c r="AI627" s="17" t="n"/>
      <c r="AJ627" s="17" t="n"/>
    </row>
    <row r="628" ht="15.75" customHeight="1" s="44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/>
      <c r="Z628" s="17" t="n"/>
      <c r="AA628" s="17" t="n"/>
      <c r="AB628" s="17" t="n"/>
      <c r="AC628" s="17" t="n"/>
      <c r="AD628" s="17" t="n"/>
      <c r="AE628" s="17" t="n"/>
      <c r="AF628" s="17" t="n"/>
      <c r="AG628" s="17" t="n"/>
      <c r="AH628" s="17" t="n"/>
      <c r="AI628" s="17" t="n"/>
      <c r="AJ628" s="17" t="n"/>
    </row>
    <row r="629" ht="15.75" customHeight="1" s="44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/>
      <c r="Z629" s="17" t="n"/>
      <c r="AA629" s="17" t="n"/>
      <c r="AB629" s="17" t="n"/>
      <c r="AC629" s="17" t="n"/>
      <c r="AD629" s="17" t="n"/>
      <c r="AE629" s="17" t="n"/>
      <c r="AF629" s="17" t="n"/>
      <c r="AG629" s="17" t="n"/>
      <c r="AH629" s="17" t="n"/>
      <c r="AI629" s="17" t="n"/>
      <c r="AJ629" s="17" t="n"/>
    </row>
    <row r="630" ht="15.75" customHeight="1" s="44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/>
      <c r="Z630" s="17" t="n"/>
      <c r="AA630" s="17" t="n"/>
      <c r="AB630" s="17" t="n"/>
      <c r="AC630" s="17" t="n"/>
      <c r="AD630" s="17" t="n"/>
      <c r="AE630" s="17" t="n"/>
      <c r="AF630" s="17" t="n"/>
      <c r="AG630" s="17" t="n"/>
      <c r="AH630" s="17" t="n"/>
      <c r="AI630" s="17" t="n"/>
      <c r="AJ630" s="17" t="n"/>
    </row>
    <row r="631" ht="15.75" customHeight="1" s="44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/>
      <c r="Z631" s="17" t="n"/>
      <c r="AA631" s="17" t="n"/>
      <c r="AB631" s="17" t="n"/>
      <c r="AC631" s="17" t="n"/>
      <c r="AD631" s="17" t="n"/>
      <c r="AE631" s="17" t="n"/>
      <c r="AF631" s="17" t="n"/>
      <c r="AG631" s="17" t="n"/>
      <c r="AH631" s="17" t="n"/>
      <c r="AI631" s="17" t="n"/>
      <c r="AJ631" s="17" t="n"/>
    </row>
    <row r="632" ht="15.75" customHeight="1" s="44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/>
      <c r="Z632" s="17" t="n"/>
      <c r="AA632" s="17" t="n"/>
      <c r="AB632" s="17" t="n"/>
      <c r="AC632" s="17" t="n"/>
      <c r="AD632" s="17" t="n"/>
      <c r="AE632" s="17" t="n"/>
      <c r="AF632" s="17" t="n"/>
      <c r="AG632" s="17" t="n"/>
      <c r="AH632" s="17" t="n"/>
      <c r="AI632" s="17" t="n"/>
      <c r="AJ632" s="17" t="n"/>
    </row>
    <row r="633" ht="15.75" customHeight="1" s="44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/>
      <c r="Z633" s="17" t="n"/>
      <c r="AA633" s="17" t="n"/>
      <c r="AB633" s="17" t="n"/>
      <c r="AC633" s="17" t="n"/>
      <c r="AD633" s="17" t="n"/>
      <c r="AE633" s="17" t="n"/>
      <c r="AF633" s="17" t="n"/>
      <c r="AG633" s="17" t="n"/>
      <c r="AH633" s="17" t="n"/>
      <c r="AI633" s="17" t="n"/>
      <c r="AJ633" s="17" t="n"/>
    </row>
    <row r="634" ht="15.75" customHeight="1" s="4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7" t="n"/>
      <c r="Z634" s="17" t="n"/>
      <c r="AA634" s="17" t="n"/>
      <c r="AB634" s="17" t="n"/>
      <c r="AC634" s="17" t="n"/>
      <c r="AD634" s="17" t="n"/>
      <c r="AE634" s="17" t="n"/>
      <c r="AF634" s="17" t="n"/>
      <c r="AG634" s="17" t="n"/>
      <c r="AH634" s="17" t="n"/>
      <c r="AI634" s="17" t="n"/>
      <c r="AJ634" s="17" t="n"/>
    </row>
    <row r="635" ht="15.75" customHeight="1" s="44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/>
      <c r="Z635" s="17" t="n"/>
      <c r="AA635" s="17" t="n"/>
      <c r="AB635" s="17" t="n"/>
      <c r="AC635" s="17" t="n"/>
      <c r="AD635" s="17" t="n"/>
      <c r="AE635" s="17" t="n"/>
      <c r="AF635" s="17" t="n"/>
      <c r="AG635" s="17" t="n"/>
      <c r="AH635" s="17" t="n"/>
      <c r="AI635" s="17" t="n"/>
      <c r="AJ635" s="17" t="n"/>
    </row>
    <row r="636" ht="15.75" customHeight="1" s="44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/>
      <c r="Z636" s="17" t="n"/>
      <c r="AA636" s="17" t="n"/>
      <c r="AB636" s="17" t="n"/>
      <c r="AC636" s="17" t="n"/>
      <c r="AD636" s="17" t="n"/>
      <c r="AE636" s="17" t="n"/>
      <c r="AF636" s="17" t="n"/>
      <c r="AG636" s="17" t="n"/>
      <c r="AH636" s="17" t="n"/>
      <c r="AI636" s="17" t="n"/>
      <c r="AJ636" s="17" t="n"/>
    </row>
    <row r="637" ht="15.75" customHeight="1" s="44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/>
      <c r="Z637" s="17" t="n"/>
      <c r="AA637" s="17" t="n"/>
      <c r="AB637" s="17" t="n"/>
      <c r="AC637" s="17" t="n"/>
      <c r="AD637" s="17" t="n"/>
      <c r="AE637" s="17" t="n"/>
      <c r="AF637" s="17" t="n"/>
      <c r="AG637" s="17" t="n"/>
      <c r="AH637" s="17" t="n"/>
      <c r="AI637" s="17" t="n"/>
      <c r="AJ637" s="17" t="n"/>
    </row>
    <row r="638" ht="15.75" customHeight="1" s="44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/>
      <c r="Z638" s="17" t="n"/>
      <c r="AA638" s="17" t="n"/>
      <c r="AB638" s="17" t="n"/>
      <c r="AC638" s="17" t="n"/>
      <c r="AD638" s="17" t="n"/>
      <c r="AE638" s="17" t="n"/>
      <c r="AF638" s="17" t="n"/>
      <c r="AG638" s="17" t="n"/>
      <c r="AH638" s="17" t="n"/>
      <c r="AI638" s="17" t="n"/>
      <c r="AJ638" s="17" t="n"/>
    </row>
    <row r="639" ht="15.75" customHeight="1" s="44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/>
      <c r="Z639" s="17" t="n"/>
      <c r="AA639" s="17" t="n"/>
      <c r="AB639" s="17" t="n"/>
      <c r="AC639" s="17" t="n"/>
      <c r="AD639" s="17" t="n"/>
      <c r="AE639" s="17" t="n"/>
      <c r="AF639" s="17" t="n"/>
      <c r="AG639" s="17" t="n"/>
      <c r="AH639" s="17" t="n"/>
      <c r="AI639" s="17" t="n"/>
      <c r="AJ639" s="17" t="n"/>
    </row>
    <row r="640" ht="15.75" customHeight="1" s="44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/>
      <c r="Z640" s="17" t="n"/>
      <c r="AA640" s="17" t="n"/>
      <c r="AB640" s="17" t="n"/>
      <c r="AC640" s="17" t="n"/>
      <c r="AD640" s="17" t="n"/>
      <c r="AE640" s="17" t="n"/>
      <c r="AF640" s="17" t="n"/>
      <c r="AG640" s="17" t="n"/>
      <c r="AH640" s="17" t="n"/>
      <c r="AI640" s="17" t="n"/>
      <c r="AJ640" s="17" t="n"/>
    </row>
    <row r="641" ht="15.75" customHeight="1" s="44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/>
      <c r="Z641" s="17" t="n"/>
      <c r="AA641" s="17" t="n"/>
      <c r="AB641" s="17" t="n"/>
      <c r="AC641" s="17" t="n"/>
      <c r="AD641" s="17" t="n"/>
      <c r="AE641" s="17" t="n"/>
      <c r="AF641" s="17" t="n"/>
      <c r="AG641" s="17" t="n"/>
      <c r="AH641" s="17" t="n"/>
      <c r="AI641" s="17" t="n"/>
      <c r="AJ641" s="17" t="n"/>
    </row>
    <row r="642" ht="15.75" customHeight="1" s="44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/>
      <c r="Z642" s="17" t="n"/>
      <c r="AA642" s="17" t="n"/>
      <c r="AB642" s="17" t="n"/>
      <c r="AC642" s="17" t="n"/>
      <c r="AD642" s="17" t="n"/>
      <c r="AE642" s="17" t="n"/>
      <c r="AF642" s="17" t="n"/>
      <c r="AG642" s="17" t="n"/>
      <c r="AH642" s="17" t="n"/>
      <c r="AI642" s="17" t="n"/>
      <c r="AJ642" s="17" t="n"/>
    </row>
    <row r="643" ht="15.75" customHeight="1" s="44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/>
      <c r="Z643" s="17" t="n"/>
      <c r="AA643" s="17" t="n"/>
      <c r="AB643" s="17" t="n"/>
      <c r="AC643" s="17" t="n"/>
      <c r="AD643" s="17" t="n"/>
      <c r="AE643" s="17" t="n"/>
      <c r="AF643" s="17" t="n"/>
      <c r="AG643" s="17" t="n"/>
      <c r="AH643" s="17" t="n"/>
      <c r="AI643" s="17" t="n"/>
      <c r="AJ643" s="17" t="n"/>
    </row>
    <row r="644" ht="15.75" customHeight="1" s="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/>
      <c r="Z644" s="17" t="n"/>
      <c r="AA644" s="17" t="n"/>
      <c r="AB644" s="17" t="n"/>
      <c r="AC644" s="17" t="n"/>
      <c r="AD644" s="17" t="n"/>
      <c r="AE644" s="17" t="n"/>
      <c r="AF644" s="17" t="n"/>
      <c r="AG644" s="17" t="n"/>
      <c r="AH644" s="17" t="n"/>
      <c r="AI644" s="17" t="n"/>
      <c r="AJ644" s="17" t="n"/>
    </row>
    <row r="645" ht="15.75" customHeight="1" s="44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/>
      <c r="Z645" s="17" t="n"/>
      <c r="AA645" s="17" t="n"/>
      <c r="AB645" s="17" t="n"/>
      <c r="AC645" s="17" t="n"/>
      <c r="AD645" s="17" t="n"/>
      <c r="AE645" s="17" t="n"/>
      <c r="AF645" s="17" t="n"/>
      <c r="AG645" s="17" t="n"/>
      <c r="AH645" s="17" t="n"/>
      <c r="AI645" s="17" t="n"/>
      <c r="AJ645" s="17" t="n"/>
    </row>
    <row r="646" ht="15.75" customHeight="1" s="44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/>
      <c r="Z646" s="17" t="n"/>
      <c r="AA646" s="17" t="n"/>
      <c r="AB646" s="17" t="n"/>
      <c r="AC646" s="17" t="n"/>
      <c r="AD646" s="17" t="n"/>
      <c r="AE646" s="17" t="n"/>
      <c r="AF646" s="17" t="n"/>
      <c r="AG646" s="17" t="n"/>
      <c r="AH646" s="17" t="n"/>
      <c r="AI646" s="17" t="n"/>
      <c r="AJ646" s="17" t="n"/>
    </row>
    <row r="647" ht="15.75" customHeight="1" s="44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/>
      <c r="Z647" s="17" t="n"/>
      <c r="AA647" s="17" t="n"/>
      <c r="AB647" s="17" t="n"/>
      <c r="AC647" s="17" t="n"/>
      <c r="AD647" s="17" t="n"/>
      <c r="AE647" s="17" t="n"/>
      <c r="AF647" s="17" t="n"/>
      <c r="AG647" s="17" t="n"/>
      <c r="AH647" s="17" t="n"/>
      <c r="AI647" s="17" t="n"/>
      <c r="AJ647" s="17" t="n"/>
    </row>
    <row r="648" ht="15.75" customHeight="1" s="44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/>
      <c r="Z648" s="17" t="n"/>
      <c r="AA648" s="17" t="n"/>
      <c r="AB648" s="17" t="n"/>
      <c r="AC648" s="17" t="n"/>
      <c r="AD648" s="17" t="n"/>
      <c r="AE648" s="17" t="n"/>
      <c r="AF648" s="17" t="n"/>
      <c r="AG648" s="17" t="n"/>
      <c r="AH648" s="17" t="n"/>
      <c r="AI648" s="17" t="n"/>
      <c r="AJ648" s="17" t="n"/>
    </row>
    <row r="649" ht="15.75" customHeight="1" s="44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7" t="n"/>
      <c r="AA649" s="17" t="n"/>
      <c r="AB649" s="17" t="n"/>
      <c r="AC649" s="17" t="n"/>
      <c r="AD649" s="17" t="n"/>
      <c r="AE649" s="17" t="n"/>
      <c r="AF649" s="17" t="n"/>
      <c r="AG649" s="17" t="n"/>
      <c r="AH649" s="17" t="n"/>
      <c r="AI649" s="17" t="n"/>
      <c r="AJ649" s="17" t="n"/>
    </row>
    <row r="650" ht="15.75" customHeight="1" s="44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/>
      <c r="Z650" s="17" t="n"/>
      <c r="AA650" s="17" t="n"/>
      <c r="AB650" s="17" t="n"/>
      <c r="AC650" s="17" t="n"/>
      <c r="AD650" s="17" t="n"/>
      <c r="AE650" s="17" t="n"/>
      <c r="AF650" s="17" t="n"/>
      <c r="AG650" s="17" t="n"/>
      <c r="AH650" s="17" t="n"/>
      <c r="AI650" s="17" t="n"/>
      <c r="AJ650" s="17" t="n"/>
    </row>
    <row r="651" ht="15.75" customHeight="1" s="44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/>
      <c r="Z651" s="17" t="n"/>
      <c r="AA651" s="17" t="n"/>
      <c r="AB651" s="17" t="n"/>
      <c r="AC651" s="17" t="n"/>
      <c r="AD651" s="17" t="n"/>
      <c r="AE651" s="17" t="n"/>
      <c r="AF651" s="17" t="n"/>
      <c r="AG651" s="17" t="n"/>
      <c r="AH651" s="17" t="n"/>
      <c r="AI651" s="17" t="n"/>
      <c r="AJ651" s="17" t="n"/>
    </row>
    <row r="652" ht="15.75" customHeight="1" s="44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/>
      <c r="Z652" s="17" t="n"/>
      <c r="AA652" s="17" t="n"/>
      <c r="AB652" s="17" t="n"/>
      <c r="AC652" s="17" t="n"/>
      <c r="AD652" s="17" t="n"/>
      <c r="AE652" s="17" t="n"/>
      <c r="AF652" s="17" t="n"/>
      <c r="AG652" s="17" t="n"/>
      <c r="AH652" s="17" t="n"/>
      <c r="AI652" s="17" t="n"/>
      <c r="AJ652" s="17" t="n"/>
    </row>
    <row r="653" ht="15.75" customHeight="1" s="44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7" t="n"/>
      <c r="Z653" s="17" t="n"/>
      <c r="AA653" s="17" t="n"/>
      <c r="AB653" s="17" t="n"/>
      <c r="AC653" s="17" t="n"/>
      <c r="AD653" s="17" t="n"/>
      <c r="AE653" s="17" t="n"/>
      <c r="AF653" s="17" t="n"/>
      <c r="AG653" s="17" t="n"/>
      <c r="AH653" s="17" t="n"/>
      <c r="AI653" s="17" t="n"/>
      <c r="AJ653" s="17" t="n"/>
    </row>
    <row r="654" ht="15.75" customHeight="1" s="4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7" t="n"/>
      <c r="Z654" s="17" t="n"/>
      <c r="AA654" s="17" t="n"/>
      <c r="AB654" s="17" t="n"/>
      <c r="AC654" s="17" t="n"/>
      <c r="AD654" s="17" t="n"/>
      <c r="AE654" s="17" t="n"/>
      <c r="AF654" s="17" t="n"/>
      <c r="AG654" s="17" t="n"/>
      <c r="AH654" s="17" t="n"/>
      <c r="AI654" s="17" t="n"/>
      <c r="AJ654" s="17" t="n"/>
    </row>
    <row r="655" ht="15.75" customHeight="1" s="44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/>
      <c r="Z655" s="17" t="n"/>
      <c r="AA655" s="17" t="n"/>
      <c r="AB655" s="17" t="n"/>
      <c r="AC655" s="17" t="n"/>
      <c r="AD655" s="17" t="n"/>
      <c r="AE655" s="17" t="n"/>
      <c r="AF655" s="17" t="n"/>
      <c r="AG655" s="17" t="n"/>
      <c r="AH655" s="17" t="n"/>
      <c r="AI655" s="17" t="n"/>
      <c r="AJ655" s="17" t="n"/>
    </row>
    <row r="656" ht="15.75" customHeight="1" s="44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/>
      <c r="Z656" s="17" t="n"/>
      <c r="AA656" s="17" t="n"/>
      <c r="AB656" s="17" t="n"/>
      <c r="AC656" s="17" t="n"/>
      <c r="AD656" s="17" t="n"/>
      <c r="AE656" s="17" t="n"/>
      <c r="AF656" s="17" t="n"/>
      <c r="AG656" s="17" t="n"/>
      <c r="AH656" s="17" t="n"/>
      <c r="AI656" s="17" t="n"/>
      <c r="AJ656" s="17" t="n"/>
    </row>
    <row r="657" ht="15.75" customHeight="1" s="44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/>
      <c r="Z657" s="17" t="n"/>
      <c r="AA657" s="17" t="n"/>
      <c r="AB657" s="17" t="n"/>
      <c r="AC657" s="17" t="n"/>
      <c r="AD657" s="17" t="n"/>
      <c r="AE657" s="17" t="n"/>
      <c r="AF657" s="17" t="n"/>
      <c r="AG657" s="17" t="n"/>
      <c r="AH657" s="17" t="n"/>
      <c r="AI657" s="17" t="n"/>
      <c r="AJ657" s="17" t="n"/>
    </row>
    <row r="658" ht="15.75" customHeight="1" s="44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/>
      <c r="Z658" s="17" t="n"/>
      <c r="AA658" s="17" t="n"/>
      <c r="AB658" s="17" t="n"/>
      <c r="AC658" s="17" t="n"/>
      <c r="AD658" s="17" t="n"/>
      <c r="AE658" s="17" t="n"/>
      <c r="AF658" s="17" t="n"/>
      <c r="AG658" s="17" t="n"/>
      <c r="AH658" s="17" t="n"/>
      <c r="AI658" s="17" t="n"/>
      <c r="AJ658" s="17" t="n"/>
    </row>
    <row r="659" ht="15.75" customHeight="1" s="44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/>
      <c r="Z659" s="17" t="n"/>
      <c r="AA659" s="17" t="n"/>
      <c r="AB659" s="17" t="n"/>
      <c r="AC659" s="17" t="n"/>
      <c r="AD659" s="17" t="n"/>
      <c r="AE659" s="17" t="n"/>
      <c r="AF659" s="17" t="n"/>
      <c r="AG659" s="17" t="n"/>
      <c r="AH659" s="17" t="n"/>
      <c r="AI659" s="17" t="n"/>
      <c r="AJ659" s="17" t="n"/>
    </row>
    <row r="660" ht="15.75" customHeight="1" s="44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/>
      <c r="Z660" s="17" t="n"/>
      <c r="AA660" s="17" t="n"/>
      <c r="AB660" s="17" t="n"/>
      <c r="AC660" s="17" t="n"/>
      <c r="AD660" s="17" t="n"/>
      <c r="AE660" s="17" t="n"/>
      <c r="AF660" s="17" t="n"/>
      <c r="AG660" s="17" t="n"/>
      <c r="AH660" s="17" t="n"/>
      <c r="AI660" s="17" t="n"/>
      <c r="AJ660" s="17" t="n"/>
    </row>
    <row r="661" ht="15.75" customHeight="1" s="44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/>
      <c r="Z661" s="17" t="n"/>
      <c r="AA661" s="17" t="n"/>
      <c r="AB661" s="17" t="n"/>
      <c r="AC661" s="17" t="n"/>
      <c r="AD661" s="17" t="n"/>
      <c r="AE661" s="17" t="n"/>
      <c r="AF661" s="17" t="n"/>
      <c r="AG661" s="17" t="n"/>
      <c r="AH661" s="17" t="n"/>
      <c r="AI661" s="17" t="n"/>
      <c r="AJ661" s="17" t="n"/>
    </row>
    <row r="662" ht="15.75" customHeight="1" s="44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/>
      <c r="Z662" s="17" t="n"/>
      <c r="AA662" s="17" t="n"/>
      <c r="AB662" s="17" t="n"/>
      <c r="AC662" s="17" t="n"/>
      <c r="AD662" s="17" t="n"/>
      <c r="AE662" s="17" t="n"/>
      <c r="AF662" s="17" t="n"/>
      <c r="AG662" s="17" t="n"/>
      <c r="AH662" s="17" t="n"/>
      <c r="AI662" s="17" t="n"/>
      <c r="AJ662" s="17" t="n"/>
    </row>
    <row r="663" ht="15.75" customHeight="1" s="44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/>
      <c r="Z663" s="17" t="n"/>
      <c r="AA663" s="17" t="n"/>
      <c r="AB663" s="17" t="n"/>
      <c r="AC663" s="17" t="n"/>
      <c r="AD663" s="17" t="n"/>
      <c r="AE663" s="17" t="n"/>
      <c r="AF663" s="17" t="n"/>
      <c r="AG663" s="17" t="n"/>
      <c r="AH663" s="17" t="n"/>
      <c r="AI663" s="17" t="n"/>
      <c r="AJ663" s="17" t="n"/>
    </row>
    <row r="664" ht="15.75" customHeight="1" s="4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/>
      <c r="Z664" s="17" t="n"/>
      <c r="AA664" s="17" t="n"/>
      <c r="AB664" s="17" t="n"/>
      <c r="AC664" s="17" t="n"/>
      <c r="AD664" s="17" t="n"/>
      <c r="AE664" s="17" t="n"/>
      <c r="AF664" s="17" t="n"/>
      <c r="AG664" s="17" t="n"/>
      <c r="AH664" s="17" t="n"/>
      <c r="AI664" s="17" t="n"/>
      <c r="AJ664" s="17" t="n"/>
    </row>
    <row r="665" ht="15.75" customHeight="1" s="44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/>
      <c r="Z665" s="17" t="n"/>
      <c r="AA665" s="17" t="n"/>
      <c r="AB665" s="17" t="n"/>
      <c r="AC665" s="17" t="n"/>
      <c r="AD665" s="17" t="n"/>
      <c r="AE665" s="17" t="n"/>
      <c r="AF665" s="17" t="n"/>
      <c r="AG665" s="17" t="n"/>
      <c r="AH665" s="17" t="n"/>
      <c r="AI665" s="17" t="n"/>
      <c r="AJ665" s="17" t="n"/>
    </row>
    <row r="666" ht="15.75" customHeight="1" s="44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/>
      <c r="Z666" s="17" t="n"/>
      <c r="AA666" s="17" t="n"/>
      <c r="AB666" s="17" t="n"/>
      <c r="AC666" s="17" t="n"/>
      <c r="AD666" s="17" t="n"/>
      <c r="AE666" s="17" t="n"/>
      <c r="AF666" s="17" t="n"/>
      <c r="AG666" s="17" t="n"/>
      <c r="AH666" s="17" t="n"/>
      <c r="AI666" s="17" t="n"/>
      <c r="AJ666" s="17" t="n"/>
    </row>
    <row r="667" ht="15.75" customHeight="1" s="44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/>
      <c r="Z667" s="17" t="n"/>
      <c r="AA667" s="17" t="n"/>
      <c r="AB667" s="17" t="n"/>
      <c r="AC667" s="17" t="n"/>
      <c r="AD667" s="17" t="n"/>
      <c r="AE667" s="17" t="n"/>
      <c r="AF667" s="17" t="n"/>
      <c r="AG667" s="17" t="n"/>
      <c r="AH667" s="17" t="n"/>
      <c r="AI667" s="17" t="n"/>
      <c r="AJ667" s="17" t="n"/>
    </row>
    <row r="668" ht="15.75" customHeight="1" s="44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/>
      <c r="Z668" s="17" t="n"/>
      <c r="AA668" s="17" t="n"/>
      <c r="AB668" s="17" t="n"/>
      <c r="AC668" s="17" t="n"/>
      <c r="AD668" s="17" t="n"/>
      <c r="AE668" s="17" t="n"/>
      <c r="AF668" s="17" t="n"/>
      <c r="AG668" s="17" t="n"/>
      <c r="AH668" s="17" t="n"/>
      <c r="AI668" s="17" t="n"/>
      <c r="AJ668" s="17" t="n"/>
    </row>
    <row r="669" ht="15.75" customHeight="1" s="44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/>
      <c r="Z669" s="17" t="n"/>
      <c r="AA669" s="17" t="n"/>
      <c r="AB669" s="17" t="n"/>
      <c r="AC669" s="17" t="n"/>
      <c r="AD669" s="17" t="n"/>
      <c r="AE669" s="17" t="n"/>
      <c r="AF669" s="17" t="n"/>
      <c r="AG669" s="17" t="n"/>
      <c r="AH669" s="17" t="n"/>
      <c r="AI669" s="17" t="n"/>
      <c r="AJ669" s="17" t="n"/>
    </row>
    <row r="670" ht="15.75" customHeight="1" s="44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/>
      <c r="Z670" s="17" t="n"/>
      <c r="AA670" s="17" t="n"/>
      <c r="AB670" s="17" t="n"/>
      <c r="AC670" s="17" t="n"/>
      <c r="AD670" s="17" t="n"/>
      <c r="AE670" s="17" t="n"/>
      <c r="AF670" s="17" t="n"/>
      <c r="AG670" s="17" t="n"/>
      <c r="AH670" s="17" t="n"/>
      <c r="AI670" s="17" t="n"/>
      <c r="AJ670" s="17" t="n"/>
    </row>
    <row r="671" ht="15.75" customHeight="1" s="44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/>
      <c r="Z671" s="17" t="n"/>
      <c r="AA671" s="17" t="n"/>
      <c r="AB671" s="17" t="n"/>
      <c r="AC671" s="17" t="n"/>
      <c r="AD671" s="17" t="n"/>
      <c r="AE671" s="17" t="n"/>
      <c r="AF671" s="17" t="n"/>
      <c r="AG671" s="17" t="n"/>
      <c r="AH671" s="17" t="n"/>
      <c r="AI671" s="17" t="n"/>
      <c r="AJ671" s="17" t="n"/>
    </row>
    <row r="672" ht="15.75" customHeight="1" s="44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/>
      <c r="Z672" s="17" t="n"/>
      <c r="AA672" s="17" t="n"/>
      <c r="AB672" s="17" t="n"/>
      <c r="AC672" s="17" t="n"/>
      <c r="AD672" s="17" t="n"/>
      <c r="AE672" s="17" t="n"/>
      <c r="AF672" s="17" t="n"/>
      <c r="AG672" s="17" t="n"/>
      <c r="AH672" s="17" t="n"/>
      <c r="AI672" s="17" t="n"/>
      <c r="AJ672" s="17" t="n"/>
    </row>
    <row r="673" ht="15.75" customHeight="1" s="44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/>
      <c r="Z673" s="17" t="n"/>
      <c r="AA673" s="17" t="n"/>
      <c r="AB673" s="17" t="n"/>
      <c r="AC673" s="17" t="n"/>
      <c r="AD673" s="17" t="n"/>
      <c r="AE673" s="17" t="n"/>
      <c r="AF673" s="17" t="n"/>
      <c r="AG673" s="17" t="n"/>
      <c r="AH673" s="17" t="n"/>
      <c r="AI673" s="17" t="n"/>
      <c r="AJ673" s="17" t="n"/>
    </row>
    <row r="674" ht="15.75" customHeight="1" s="4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/>
      <c r="Z674" s="17" t="n"/>
      <c r="AA674" s="17" t="n"/>
      <c r="AB674" s="17" t="n"/>
      <c r="AC674" s="17" t="n"/>
      <c r="AD674" s="17" t="n"/>
      <c r="AE674" s="17" t="n"/>
      <c r="AF674" s="17" t="n"/>
      <c r="AG674" s="17" t="n"/>
      <c r="AH674" s="17" t="n"/>
      <c r="AI674" s="17" t="n"/>
      <c r="AJ674" s="17" t="n"/>
    </row>
    <row r="675" ht="15.75" customHeight="1" s="44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/>
      <c r="Z675" s="17" t="n"/>
      <c r="AA675" s="17" t="n"/>
      <c r="AB675" s="17" t="n"/>
      <c r="AC675" s="17" t="n"/>
      <c r="AD675" s="17" t="n"/>
      <c r="AE675" s="17" t="n"/>
      <c r="AF675" s="17" t="n"/>
      <c r="AG675" s="17" t="n"/>
      <c r="AH675" s="17" t="n"/>
      <c r="AI675" s="17" t="n"/>
      <c r="AJ675" s="17" t="n"/>
    </row>
    <row r="676" ht="15.75" customHeight="1" s="44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/>
      <c r="Z676" s="17" t="n"/>
      <c r="AA676" s="17" t="n"/>
      <c r="AB676" s="17" t="n"/>
      <c r="AC676" s="17" t="n"/>
      <c r="AD676" s="17" t="n"/>
      <c r="AE676" s="17" t="n"/>
      <c r="AF676" s="17" t="n"/>
      <c r="AG676" s="17" t="n"/>
      <c r="AH676" s="17" t="n"/>
      <c r="AI676" s="17" t="n"/>
      <c r="AJ676" s="17" t="n"/>
    </row>
    <row r="677" ht="15.75" customHeight="1" s="44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/>
      <c r="Z677" s="17" t="n"/>
      <c r="AA677" s="17" t="n"/>
      <c r="AB677" s="17" t="n"/>
      <c r="AC677" s="17" t="n"/>
      <c r="AD677" s="17" t="n"/>
      <c r="AE677" s="17" t="n"/>
      <c r="AF677" s="17" t="n"/>
      <c r="AG677" s="17" t="n"/>
      <c r="AH677" s="17" t="n"/>
      <c r="AI677" s="17" t="n"/>
      <c r="AJ677" s="17" t="n"/>
    </row>
    <row r="678" ht="15.75" customHeight="1" s="44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/>
      <c r="Z678" s="17" t="n"/>
      <c r="AA678" s="17" t="n"/>
      <c r="AB678" s="17" t="n"/>
      <c r="AC678" s="17" t="n"/>
      <c r="AD678" s="17" t="n"/>
      <c r="AE678" s="17" t="n"/>
      <c r="AF678" s="17" t="n"/>
      <c r="AG678" s="17" t="n"/>
      <c r="AH678" s="17" t="n"/>
      <c r="AI678" s="17" t="n"/>
      <c r="AJ678" s="17" t="n"/>
    </row>
    <row r="679" ht="15.75" customHeight="1" s="44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/>
      <c r="Z679" s="17" t="n"/>
      <c r="AA679" s="17" t="n"/>
      <c r="AB679" s="17" t="n"/>
      <c r="AC679" s="17" t="n"/>
      <c r="AD679" s="17" t="n"/>
      <c r="AE679" s="17" t="n"/>
      <c r="AF679" s="17" t="n"/>
      <c r="AG679" s="17" t="n"/>
      <c r="AH679" s="17" t="n"/>
      <c r="AI679" s="17" t="n"/>
      <c r="AJ679" s="17" t="n"/>
    </row>
    <row r="680" ht="15.75" customHeight="1" s="44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/>
      <c r="Z680" s="17" t="n"/>
      <c r="AA680" s="17" t="n"/>
      <c r="AB680" s="17" t="n"/>
      <c r="AC680" s="17" t="n"/>
      <c r="AD680" s="17" t="n"/>
      <c r="AE680" s="17" t="n"/>
      <c r="AF680" s="17" t="n"/>
      <c r="AG680" s="17" t="n"/>
      <c r="AH680" s="17" t="n"/>
      <c r="AI680" s="17" t="n"/>
      <c r="AJ680" s="17" t="n"/>
    </row>
    <row r="681" ht="15.75" customHeight="1" s="44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/>
      <c r="Z681" s="17" t="n"/>
      <c r="AA681" s="17" t="n"/>
      <c r="AB681" s="17" t="n"/>
      <c r="AC681" s="17" t="n"/>
      <c r="AD681" s="17" t="n"/>
      <c r="AE681" s="17" t="n"/>
      <c r="AF681" s="17" t="n"/>
      <c r="AG681" s="17" t="n"/>
      <c r="AH681" s="17" t="n"/>
      <c r="AI681" s="17" t="n"/>
      <c r="AJ681" s="17" t="n"/>
    </row>
    <row r="682" ht="15.75" customHeight="1" s="44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/>
      <c r="Z682" s="17" t="n"/>
      <c r="AA682" s="17" t="n"/>
      <c r="AB682" s="17" t="n"/>
      <c r="AC682" s="17" t="n"/>
      <c r="AD682" s="17" t="n"/>
      <c r="AE682" s="17" t="n"/>
      <c r="AF682" s="17" t="n"/>
      <c r="AG682" s="17" t="n"/>
      <c r="AH682" s="17" t="n"/>
      <c r="AI682" s="17" t="n"/>
      <c r="AJ682" s="17" t="n"/>
    </row>
    <row r="683" ht="15.75" customHeight="1" s="44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/>
      <c r="Z683" s="17" t="n"/>
      <c r="AA683" s="17" t="n"/>
      <c r="AB683" s="17" t="n"/>
      <c r="AC683" s="17" t="n"/>
      <c r="AD683" s="17" t="n"/>
      <c r="AE683" s="17" t="n"/>
      <c r="AF683" s="17" t="n"/>
      <c r="AG683" s="17" t="n"/>
      <c r="AH683" s="17" t="n"/>
      <c r="AI683" s="17" t="n"/>
      <c r="AJ683" s="17" t="n"/>
    </row>
    <row r="684" ht="15.75" customHeight="1" s="4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/>
      <c r="Z684" s="17" t="n"/>
      <c r="AA684" s="17" t="n"/>
      <c r="AB684" s="17" t="n"/>
      <c r="AC684" s="17" t="n"/>
      <c r="AD684" s="17" t="n"/>
      <c r="AE684" s="17" t="n"/>
      <c r="AF684" s="17" t="n"/>
      <c r="AG684" s="17" t="n"/>
      <c r="AH684" s="17" t="n"/>
      <c r="AI684" s="17" t="n"/>
      <c r="AJ684" s="17" t="n"/>
    </row>
    <row r="685" ht="15.75" customHeight="1" s="44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/>
      <c r="Z685" s="17" t="n"/>
      <c r="AA685" s="17" t="n"/>
      <c r="AB685" s="17" t="n"/>
      <c r="AC685" s="17" t="n"/>
      <c r="AD685" s="17" t="n"/>
      <c r="AE685" s="17" t="n"/>
      <c r="AF685" s="17" t="n"/>
      <c r="AG685" s="17" t="n"/>
      <c r="AH685" s="17" t="n"/>
      <c r="AI685" s="17" t="n"/>
      <c r="AJ685" s="17" t="n"/>
    </row>
    <row r="686" ht="15.75" customHeight="1" s="44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/>
      <c r="Z686" s="17" t="n"/>
      <c r="AA686" s="17" t="n"/>
      <c r="AB686" s="17" t="n"/>
      <c r="AC686" s="17" t="n"/>
      <c r="AD686" s="17" t="n"/>
      <c r="AE686" s="17" t="n"/>
      <c r="AF686" s="17" t="n"/>
      <c r="AG686" s="17" t="n"/>
      <c r="AH686" s="17" t="n"/>
      <c r="AI686" s="17" t="n"/>
      <c r="AJ686" s="17" t="n"/>
    </row>
    <row r="687" ht="15.75" customHeight="1" s="44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/>
      <c r="Z687" s="17" t="n"/>
      <c r="AA687" s="17" t="n"/>
      <c r="AB687" s="17" t="n"/>
      <c r="AC687" s="17" t="n"/>
      <c r="AD687" s="17" t="n"/>
      <c r="AE687" s="17" t="n"/>
      <c r="AF687" s="17" t="n"/>
      <c r="AG687" s="17" t="n"/>
      <c r="AH687" s="17" t="n"/>
      <c r="AI687" s="17" t="n"/>
      <c r="AJ687" s="17" t="n"/>
    </row>
    <row r="688" ht="15.75" customHeight="1" s="44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/>
      <c r="Z688" s="17" t="n"/>
      <c r="AA688" s="17" t="n"/>
      <c r="AB688" s="17" t="n"/>
      <c r="AC688" s="17" t="n"/>
      <c r="AD688" s="17" t="n"/>
      <c r="AE688" s="17" t="n"/>
      <c r="AF688" s="17" t="n"/>
      <c r="AG688" s="17" t="n"/>
      <c r="AH688" s="17" t="n"/>
      <c r="AI688" s="17" t="n"/>
      <c r="AJ688" s="17" t="n"/>
    </row>
    <row r="689" ht="15.75" customHeight="1" s="44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/>
      <c r="Z689" s="17" t="n"/>
      <c r="AA689" s="17" t="n"/>
      <c r="AB689" s="17" t="n"/>
      <c r="AC689" s="17" t="n"/>
      <c r="AD689" s="17" t="n"/>
      <c r="AE689" s="17" t="n"/>
      <c r="AF689" s="17" t="n"/>
      <c r="AG689" s="17" t="n"/>
      <c r="AH689" s="17" t="n"/>
      <c r="AI689" s="17" t="n"/>
      <c r="AJ689" s="17" t="n"/>
    </row>
    <row r="690" ht="15.75" customHeight="1" s="44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/>
      <c r="Z690" s="17" t="n"/>
      <c r="AA690" s="17" t="n"/>
      <c r="AB690" s="17" t="n"/>
      <c r="AC690" s="17" t="n"/>
      <c r="AD690" s="17" t="n"/>
      <c r="AE690" s="17" t="n"/>
      <c r="AF690" s="17" t="n"/>
      <c r="AG690" s="17" t="n"/>
      <c r="AH690" s="17" t="n"/>
      <c r="AI690" s="17" t="n"/>
      <c r="AJ690" s="17" t="n"/>
    </row>
    <row r="691" ht="15.75" customHeight="1" s="44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/>
      <c r="Z691" s="17" t="n"/>
      <c r="AA691" s="17" t="n"/>
      <c r="AB691" s="17" t="n"/>
      <c r="AC691" s="17" t="n"/>
      <c r="AD691" s="17" t="n"/>
      <c r="AE691" s="17" t="n"/>
      <c r="AF691" s="17" t="n"/>
      <c r="AG691" s="17" t="n"/>
      <c r="AH691" s="17" t="n"/>
      <c r="AI691" s="17" t="n"/>
      <c r="AJ691" s="17" t="n"/>
    </row>
    <row r="692" ht="15.75" customHeight="1" s="44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/>
      <c r="Z692" s="17" t="n"/>
      <c r="AA692" s="17" t="n"/>
      <c r="AB692" s="17" t="n"/>
      <c r="AC692" s="17" t="n"/>
      <c r="AD692" s="17" t="n"/>
      <c r="AE692" s="17" t="n"/>
      <c r="AF692" s="17" t="n"/>
      <c r="AG692" s="17" t="n"/>
      <c r="AH692" s="17" t="n"/>
      <c r="AI692" s="17" t="n"/>
      <c r="AJ692" s="17" t="n"/>
    </row>
    <row r="693" ht="15.75" customHeight="1" s="44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/>
      <c r="Z693" s="17" t="n"/>
      <c r="AA693" s="17" t="n"/>
      <c r="AB693" s="17" t="n"/>
      <c r="AC693" s="17" t="n"/>
      <c r="AD693" s="17" t="n"/>
      <c r="AE693" s="17" t="n"/>
      <c r="AF693" s="17" t="n"/>
      <c r="AG693" s="17" t="n"/>
      <c r="AH693" s="17" t="n"/>
      <c r="AI693" s="17" t="n"/>
      <c r="AJ693" s="17" t="n"/>
    </row>
    <row r="694" ht="15.75" customHeight="1" s="4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/>
      <c r="Z694" s="17" t="n"/>
      <c r="AA694" s="17" t="n"/>
      <c r="AB694" s="17" t="n"/>
      <c r="AC694" s="17" t="n"/>
      <c r="AD694" s="17" t="n"/>
      <c r="AE694" s="17" t="n"/>
      <c r="AF694" s="17" t="n"/>
      <c r="AG694" s="17" t="n"/>
      <c r="AH694" s="17" t="n"/>
      <c r="AI694" s="17" t="n"/>
      <c r="AJ694" s="17" t="n"/>
    </row>
    <row r="695" ht="15.75" customHeight="1" s="44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/>
      <c r="Z695" s="17" t="n"/>
      <c r="AA695" s="17" t="n"/>
      <c r="AB695" s="17" t="n"/>
      <c r="AC695" s="17" t="n"/>
      <c r="AD695" s="17" t="n"/>
      <c r="AE695" s="17" t="n"/>
      <c r="AF695" s="17" t="n"/>
      <c r="AG695" s="17" t="n"/>
      <c r="AH695" s="17" t="n"/>
      <c r="AI695" s="17" t="n"/>
      <c r="AJ695" s="17" t="n"/>
    </row>
    <row r="696" ht="15.75" customHeight="1" s="44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/>
      <c r="Z696" s="17" t="n"/>
      <c r="AA696" s="17" t="n"/>
      <c r="AB696" s="17" t="n"/>
      <c r="AC696" s="17" t="n"/>
      <c r="AD696" s="17" t="n"/>
      <c r="AE696" s="17" t="n"/>
      <c r="AF696" s="17" t="n"/>
      <c r="AG696" s="17" t="n"/>
      <c r="AH696" s="17" t="n"/>
      <c r="AI696" s="17" t="n"/>
      <c r="AJ696" s="17" t="n"/>
    </row>
    <row r="697" ht="15.75" customHeight="1" s="44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/>
      <c r="Z697" s="17" t="n"/>
      <c r="AA697" s="17" t="n"/>
      <c r="AB697" s="17" t="n"/>
      <c r="AC697" s="17" t="n"/>
      <c r="AD697" s="17" t="n"/>
      <c r="AE697" s="17" t="n"/>
      <c r="AF697" s="17" t="n"/>
      <c r="AG697" s="17" t="n"/>
      <c r="AH697" s="17" t="n"/>
      <c r="AI697" s="17" t="n"/>
      <c r="AJ697" s="17" t="n"/>
    </row>
    <row r="698" ht="15.75" customHeight="1" s="44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/>
      <c r="Z698" s="17" t="n"/>
      <c r="AA698" s="17" t="n"/>
      <c r="AB698" s="17" t="n"/>
      <c r="AC698" s="17" t="n"/>
      <c r="AD698" s="17" t="n"/>
      <c r="AE698" s="17" t="n"/>
      <c r="AF698" s="17" t="n"/>
      <c r="AG698" s="17" t="n"/>
      <c r="AH698" s="17" t="n"/>
      <c r="AI698" s="17" t="n"/>
      <c r="AJ698" s="17" t="n"/>
    </row>
    <row r="699" ht="15.75" customHeight="1" s="44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/>
      <c r="Z699" s="17" t="n"/>
      <c r="AA699" s="17" t="n"/>
      <c r="AB699" s="17" t="n"/>
      <c r="AC699" s="17" t="n"/>
      <c r="AD699" s="17" t="n"/>
      <c r="AE699" s="17" t="n"/>
      <c r="AF699" s="17" t="n"/>
      <c r="AG699" s="17" t="n"/>
      <c r="AH699" s="17" t="n"/>
      <c r="AI699" s="17" t="n"/>
      <c r="AJ699" s="17" t="n"/>
    </row>
    <row r="700" ht="15.75" customHeight="1" s="44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/>
      <c r="Z700" s="17" t="n"/>
      <c r="AA700" s="17" t="n"/>
      <c r="AB700" s="17" t="n"/>
      <c r="AC700" s="17" t="n"/>
      <c r="AD700" s="17" t="n"/>
      <c r="AE700" s="17" t="n"/>
      <c r="AF700" s="17" t="n"/>
      <c r="AG700" s="17" t="n"/>
      <c r="AH700" s="17" t="n"/>
      <c r="AI700" s="17" t="n"/>
      <c r="AJ700" s="17" t="n"/>
    </row>
    <row r="701" ht="15.75" customHeight="1" s="44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/>
      <c r="Z701" s="17" t="n"/>
      <c r="AA701" s="17" t="n"/>
      <c r="AB701" s="17" t="n"/>
      <c r="AC701" s="17" t="n"/>
      <c r="AD701" s="17" t="n"/>
      <c r="AE701" s="17" t="n"/>
      <c r="AF701" s="17" t="n"/>
      <c r="AG701" s="17" t="n"/>
      <c r="AH701" s="17" t="n"/>
      <c r="AI701" s="17" t="n"/>
      <c r="AJ701" s="17" t="n"/>
    </row>
    <row r="702" ht="15.75" customHeight="1" s="44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/>
      <c r="Z702" s="17" t="n"/>
      <c r="AA702" s="17" t="n"/>
      <c r="AB702" s="17" t="n"/>
      <c r="AC702" s="17" t="n"/>
      <c r="AD702" s="17" t="n"/>
      <c r="AE702" s="17" t="n"/>
      <c r="AF702" s="17" t="n"/>
      <c r="AG702" s="17" t="n"/>
      <c r="AH702" s="17" t="n"/>
      <c r="AI702" s="17" t="n"/>
      <c r="AJ702" s="17" t="n"/>
    </row>
    <row r="703" ht="15.75" customHeight="1" s="44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/>
      <c r="Z703" s="17" t="n"/>
      <c r="AA703" s="17" t="n"/>
      <c r="AB703" s="17" t="n"/>
      <c r="AC703" s="17" t="n"/>
      <c r="AD703" s="17" t="n"/>
      <c r="AE703" s="17" t="n"/>
      <c r="AF703" s="17" t="n"/>
      <c r="AG703" s="17" t="n"/>
      <c r="AH703" s="17" t="n"/>
      <c r="AI703" s="17" t="n"/>
      <c r="AJ703" s="17" t="n"/>
    </row>
    <row r="704" ht="15.75" customHeight="1" s="4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/>
      <c r="Z704" s="17" t="n"/>
      <c r="AA704" s="17" t="n"/>
      <c r="AB704" s="17" t="n"/>
      <c r="AC704" s="17" t="n"/>
      <c r="AD704" s="17" t="n"/>
      <c r="AE704" s="17" t="n"/>
      <c r="AF704" s="17" t="n"/>
      <c r="AG704" s="17" t="n"/>
      <c r="AH704" s="17" t="n"/>
      <c r="AI704" s="17" t="n"/>
      <c r="AJ704" s="17" t="n"/>
    </row>
    <row r="705" ht="15.75" customHeight="1" s="44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/>
      <c r="Z705" s="17" t="n"/>
      <c r="AA705" s="17" t="n"/>
      <c r="AB705" s="17" t="n"/>
      <c r="AC705" s="17" t="n"/>
      <c r="AD705" s="17" t="n"/>
      <c r="AE705" s="17" t="n"/>
      <c r="AF705" s="17" t="n"/>
      <c r="AG705" s="17" t="n"/>
      <c r="AH705" s="17" t="n"/>
      <c r="AI705" s="17" t="n"/>
      <c r="AJ705" s="17" t="n"/>
    </row>
    <row r="706" ht="15.75" customHeight="1" s="44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/>
      <c r="Z706" s="17" t="n"/>
      <c r="AA706" s="17" t="n"/>
      <c r="AB706" s="17" t="n"/>
      <c r="AC706" s="17" t="n"/>
      <c r="AD706" s="17" t="n"/>
      <c r="AE706" s="17" t="n"/>
      <c r="AF706" s="17" t="n"/>
      <c r="AG706" s="17" t="n"/>
      <c r="AH706" s="17" t="n"/>
      <c r="AI706" s="17" t="n"/>
      <c r="AJ706" s="17" t="n"/>
    </row>
    <row r="707" ht="15.75" customHeight="1" s="44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/>
      <c r="Z707" s="17" t="n"/>
      <c r="AA707" s="17" t="n"/>
      <c r="AB707" s="17" t="n"/>
      <c r="AC707" s="17" t="n"/>
      <c r="AD707" s="17" t="n"/>
      <c r="AE707" s="17" t="n"/>
      <c r="AF707" s="17" t="n"/>
      <c r="AG707" s="17" t="n"/>
      <c r="AH707" s="17" t="n"/>
      <c r="AI707" s="17" t="n"/>
      <c r="AJ707" s="17" t="n"/>
    </row>
    <row r="708" ht="15.75" customHeight="1" s="44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/>
      <c r="Z708" s="17" t="n"/>
      <c r="AA708" s="17" t="n"/>
      <c r="AB708" s="17" t="n"/>
      <c r="AC708" s="17" t="n"/>
      <c r="AD708" s="17" t="n"/>
      <c r="AE708" s="17" t="n"/>
      <c r="AF708" s="17" t="n"/>
      <c r="AG708" s="17" t="n"/>
      <c r="AH708" s="17" t="n"/>
      <c r="AI708" s="17" t="n"/>
      <c r="AJ708" s="17" t="n"/>
    </row>
    <row r="709" ht="15.75" customHeight="1" s="44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/>
      <c r="Z709" s="17" t="n"/>
      <c r="AA709" s="17" t="n"/>
      <c r="AB709" s="17" t="n"/>
      <c r="AC709" s="17" t="n"/>
      <c r="AD709" s="17" t="n"/>
      <c r="AE709" s="17" t="n"/>
      <c r="AF709" s="17" t="n"/>
      <c r="AG709" s="17" t="n"/>
      <c r="AH709" s="17" t="n"/>
      <c r="AI709" s="17" t="n"/>
      <c r="AJ709" s="17" t="n"/>
    </row>
    <row r="710" ht="15.75" customHeight="1" s="44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/>
      <c r="Z710" s="17" t="n"/>
      <c r="AA710" s="17" t="n"/>
      <c r="AB710" s="17" t="n"/>
      <c r="AC710" s="17" t="n"/>
      <c r="AD710" s="17" t="n"/>
      <c r="AE710" s="17" t="n"/>
      <c r="AF710" s="17" t="n"/>
      <c r="AG710" s="17" t="n"/>
      <c r="AH710" s="17" t="n"/>
      <c r="AI710" s="17" t="n"/>
      <c r="AJ710" s="17" t="n"/>
    </row>
    <row r="711" ht="15.75" customHeight="1" s="44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/>
      <c r="Z711" s="17" t="n"/>
      <c r="AA711" s="17" t="n"/>
      <c r="AB711" s="17" t="n"/>
      <c r="AC711" s="17" t="n"/>
      <c r="AD711" s="17" t="n"/>
      <c r="AE711" s="17" t="n"/>
      <c r="AF711" s="17" t="n"/>
      <c r="AG711" s="17" t="n"/>
      <c r="AH711" s="17" t="n"/>
      <c r="AI711" s="17" t="n"/>
      <c r="AJ711" s="17" t="n"/>
    </row>
    <row r="712" ht="15.75" customHeight="1" s="44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/>
      <c r="Z712" s="17" t="n"/>
      <c r="AA712" s="17" t="n"/>
      <c r="AB712" s="17" t="n"/>
      <c r="AC712" s="17" t="n"/>
      <c r="AD712" s="17" t="n"/>
      <c r="AE712" s="17" t="n"/>
      <c r="AF712" s="17" t="n"/>
      <c r="AG712" s="17" t="n"/>
      <c r="AH712" s="17" t="n"/>
      <c r="AI712" s="17" t="n"/>
      <c r="AJ712" s="17" t="n"/>
    </row>
    <row r="713" ht="15.75" customHeight="1" s="44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/>
      <c r="Z713" s="17" t="n"/>
      <c r="AA713" s="17" t="n"/>
      <c r="AB713" s="17" t="n"/>
      <c r="AC713" s="17" t="n"/>
      <c r="AD713" s="17" t="n"/>
      <c r="AE713" s="17" t="n"/>
      <c r="AF713" s="17" t="n"/>
      <c r="AG713" s="17" t="n"/>
      <c r="AH713" s="17" t="n"/>
      <c r="AI713" s="17" t="n"/>
      <c r="AJ713" s="17" t="n"/>
    </row>
    <row r="714" ht="15.75" customHeight="1" s="4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/>
      <c r="Z714" s="17" t="n"/>
      <c r="AA714" s="17" t="n"/>
      <c r="AB714" s="17" t="n"/>
      <c r="AC714" s="17" t="n"/>
      <c r="AD714" s="17" t="n"/>
      <c r="AE714" s="17" t="n"/>
      <c r="AF714" s="17" t="n"/>
      <c r="AG714" s="17" t="n"/>
      <c r="AH714" s="17" t="n"/>
      <c r="AI714" s="17" t="n"/>
      <c r="AJ714" s="17" t="n"/>
    </row>
    <row r="715" ht="15.75" customHeight="1" s="44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/>
      <c r="Z715" s="17" t="n"/>
      <c r="AA715" s="17" t="n"/>
      <c r="AB715" s="17" t="n"/>
      <c r="AC715" s="17" t="n"/>
      <c r="AD715" s="17" t="n"/>
      <c r="AE715" s="17" t="n"/>
      <c r="AF715" s="17" t="n"/>
      <c r="AG715" s="17" t="n"/>
      <c r="AH715" s="17" t="n"/>
      <c r="AI715" s="17" t="n"/>
      <c r="AJ715" s="17" t="n"/>
    </row>
    <row r="716" ht="15.75" customHeight="1" s="44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/>
      <c r="Z716" s="17" t="n"/>
      <c r="AA716" s="17" t="n"/>
      <c r="AB716" s="17" t="n"/>
      <c r="AC716" s="17" t="n"/>
      <c r="AD716" s="17" t="n"/>
      <c r="AE716" s="17" t="n"/>
      <c r="AF716" s="17" t="n"/>
      <c r="AG716" s="17" t="n"/>
      <c r="AH716" s="17" t="n"/>
      <c r="AI716" s="17" t="n"/>
      <c r="AJ716" s="17" t="n"/>
    </row>
    <row r="717" ht="15.75" customHeight="1" s="44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/>
      <c r="Z717" s="17" t="n"/>
      <c r="AA717" s="17" t="n"/>
      <c r="AB717" s="17" t="n"/>
      <c r="AC717" s="17" t="n"/>
      <c r="AD717" s="17" t="n"/>
      <c r="AE717" s="17" t="n"/>
      <c r="AF717" s="17" t="n"/>
      <c r="AG717" s="17" t="n"/>
      <c r="AH717" s="17" t="n"/>
      <c r="AI717" s="17" t="n"/>
      <c r="AJ717" s="17" t="n"/>
    </row>
    <row r="718" ht="15.75" customHeight="1" s="44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/>
      <c r="Z718" s="17" t="n"/>
      <c r="AA718" s="17" t="n"/>
      <c r="AB718" s="17" t="n"/>
      <c r="AC718" s="17" t="n"/>
      <c r="AD718" s="17" t="n"/>
      <c r="AE718" s="17" t="n"/>
      <c r="AF718" s="17" t="n"/>
      <c r="AG718" s="17" t="n"/>
      <c r="AH718" s="17" t="n"/>
      <c r="AI718" s="17" t="n"/>
      <c r="AJ718" s="17" t="n"/>
    </row>
    <row r="719" ht="15.75" customHeight="1" s="44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/>
      <c r="Z719" s="17" t="n"/>
      <c r="AA719" s="17" t="n"/>
      <c r="AB719" s="17" t="n"/>
      <c r="AC719" s="17" t="n"/>
      <c r="AD719" s="17" t="n"/>
      <c r="AE719" s="17" t="n"/>
      <c r="AF719" s="17" t="n"/>
      <c r="AG719" s="17" t="n"/>
      <c r="AH719" s="17" t="n"/>
      <c r="AI719" s="17" t="n"/>
      <c r="AJ719" s="17" t="n"/>
    </row>
    <row r="720" ht="15.75" customHeight="1" s="44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/>
      <c r="Z720" s="17" t="n"/>
      <c r="AA720" s="17" t="n"/>
      <c r="AB720" s="17" t="n"/>
      <c r="AC720" s="17" t="n"/>
      <c r="AD720" s="17" t="n"/>
      <c r="AE720" s="17" t="n"/>
      <c r="AF720" s="17" t="n"/>
      <c r="AG720" s="17" t="n"/>
      <c r="AH720" s="17" t="n"/>
      <c r="AI720" s="17" t="n"/>
      <c r="AJ720" s="17" t="n"/>
    </row>
    <row r="721" ht="15.75" customHeight="1" s="44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/>
      <c r="Z721" s="17" t="n"/>
      <c r="AA721" s="17" t="n"/>
      <c r="AB721" s="17" t="n"/>
      <c r="AC721" s="17" t="n"/>
      <c r="AD721" s="17" t="n"/>
      <c r="AE721" s="17" t="n"/>
      <c r="AF721" s="17" t="n"/>
      <c r="AG721" s="17" t="n"/>
      <c r="AH721" s="17" t="n"/>
      <c r="AI721" s="17" t="n"/>
      <c r="AJ721" s="17" t="n"/>
    </row>
    <row r="722" ht="15.75" customHeight="1" s="44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7" t="n"/>
      <c r="Z722" s="17" t="n"/>
      <c r="AA722" s="17" t="n"/>
      <c r="AB722" s="17" t="n"/>
      <c r="AC722" s="17" t="n"/>
      <c r="AD722" s="17" t="n"/>
      <c r="AE722" s="17" t="n"/>
      <c r="AF722" s="17" t="n"/>
      <c r="AG722" s="17" t="n"/>
      <c r="AH722" s="17" t="n"/>
      <c r="AI722" s="17" t="n"/>
      <c r="AJ722" s="17" t="n"/>
    </row>
    <row r="723" ht="15.75" customHeight="1" s="44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/>
      <c r="Z723" s="17" t="n"/>
      <c r="AA723" s="17" t="n"/>
      <c r="AB723" s="17" t="n"/>
      <c r="AC723" s="17" t="n"/>
      <c r="AD723" s="17" t="n"/>
      <c r="AE723" s="17" t="n"/>
      <c r="AF723" s="17" t="n"/>
      <c r="AG723" s="17" t="n"/>
      <c r="AH723" s="17" t="n"/>
      <c r="AI723" s="17" t="n"/>
      <c r="AJ723" s="17" t="n"/>
    </row>
    <row r="724" ht="15.75" customHeight="1" s="4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/>
      <c r="Z724" s="17" t="n"/>
      <c r="AA724" s="17" t="n"/>
      <c r="AB724" s="17" t="n"/>
      <c r="AC724" s="17" t="n"/>
      <c r="AD724" s="17" t="n"/>
      <c r="AE724" s="17" t="n"/>
      <c r="AF724" s="17" t="n"/>
      <c r="AG724" s="17" t="n"/>
      <c r="AH724" s="17" t="n"/>
      <c r="AI724" s="17" t="n"/>
      <c r="AJ724" s="17" t="n"/>
    </row>
    <row r="725" ht="15.75" customHeight="1" s="44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/>
      <c r="Z725" s="17" t="n"/>
      <c r="AA725" s="17" t="n"/>
      <c r="AB725" s="17" t="n"/>
      <c r="AC725" s="17" t="n"/>
      <c r="AD725" s="17" t="n"/>
      <c r="AE725" s="17" t="n"/>
      <c r="AF725" s="17" t="n"/>
      <c r="AG725" s="17" t="n"/>
      <c r="AH725" s="17" t="n"/>
      <c r="AI725" s="17" t="n"/>
      <c r="AJ725" s="17" t="n"/>
    </row>
    <row r="726" ht="15.75" customHeight="1" s="44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/>
      <c r="Z726" s="17" t="n"/>
      <c r="AA726" s="17" t="n"/>
      <c r="AB726" s="17" t="n"/>
      <c r="AC726" s="17" t="n"/>
      <c r="AD726" s="17" t="n"/>
      <c r="AE726" s="17" t="n"/>
      <c r="AF726" s="17" t="n"/>
      <c r="AG726" s="17" t="n"/>
      <c r="AH726" s="17" t="n"/>
      <c r="AI726" s="17" t="n"/>
      <c r="AJ726" s="17" t="n"/>
    </row>
    <row r="727" ht="15.75" customHeight="1" s="44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/>
      <c r="Z727" s="17" t="n"/>
      <c r="AA727" s="17" t="n"/>
      <c r="AB727" s="17" t="n"/>
      <c r="AC727" s="17" t="n"/>
      <c r="AD727" s="17" t="n"/>
      <c r="AE727" s="17" t="n"/>
      <c r="AF727" s="17" t="n"/>
      <c r="AG727" s="17" t="n"/>
      <c r="AH727" s="17" t="n"/>
      <c r="AI727" s="17" t="n"/>
      <c r="AJ727" s="17" t="n"/>
    </row>
    <row r="728" ht="15.75" customHeight="1" s="44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/>
      <c r="Z728" s="17" t="n"/>
      <c r="AA728" s="17" t="n"/>
      <c r="AB728" s="17" t="n"/>
      <c r="AC728" s="17" t="n"/>
      <c r="AD728" s="17" t="n"/>
      <c r="AE728" s="17" t="n"/>
      <c r="AF728" s="17" t="n"/>
      <c r="AG728" s="17" t="n"/>
      <c r="AH728" s="17" t="n"/>
      <c r="AI728" s="17" t="n"/>
      <c r="AJ728" s="17" t="n"/>
    </row>
    <row r="729" ht="15.75" customHeight="1" s="44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/>
      <c r="Z729" s="17" t="n"/>
      <c r="AA729" s="17" t="n"/>
      <c r="AB729" s="17" t="n"/>
      <c r="AC729" s="17" t="n"/>
      <c r="AD729" s="17" t="n"/>
      <c r="AE729" s="17" t="n"/>
      <c r="AF729" s="17" t="n"/>
      <c r="AG729" s="17" t="n"/>
      <c r="AH729" s="17" t="n"/>
      <c r="AI729" s="17" t="n"/>
      <c r="AJ729" s="17" t="n"/>
    </row>
    <row r="730" ht="15.75" customHeight="1" s="44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/>
      <c r="Z730" s="17" t="n"/>
      <c r="AA730" s="17" t="n"/>
      <c r="AB730" s="17" t="n"/>
      <c r="AC730" s="17" t="n"/>
      <c r="AD730" s="17" t="n"/>
      <c r="AE730" s="17" t="n"/>
      <c r="AF730" s="17" t="n"/>
      <c r="AG730" s="17" t="n"/>
      <c r="AH730" s="17" t="n"/>
      <c r="AI730" s="17" t="n"/>
      <c r="AJ730" s="17" t="n"/>
    </row>
    <row r="731" ht="15.75" customHeight="1" s="44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7" t="n"/>
      <c r="AA731" s="17" t="n"/>
      <c r="AB731" s="17" t="n"/>
      <c r="AC731" s="17" t="n"/>
      <c r="AD731" s="17" t="n"/>
      <c r="AE731" s="17" t="n"/>
      <c r="AF731" s="17" t="n"/>
      <c r="AG731" s="17" t="n"/>
      <c r="AH731" s="17" t="n"/>
      <c r="AI731" s="17" t="n"/>
      <c r="AJ731" s="17" t="n"/>
    </row>
    <row r="732" ht="15.75" customHeight="1" s="44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/>
      <c r="Z732" s="17" t="n"/>
      <c r="AA732" s="17" t="n"/>
      <c r="AB732" s="17" t="n"/>
      <c r="AC732" s="17" t="n"/>
      <c r="AD732" s="17" t="n"/>
      <c r="AE732" s="17" t="n"/>
      <c r="AF732" s="17" t="n"/>
      <c r="AG732" s="17" t="n"/>
      <c r="AH732" s="17" t="n"/>
      <c r="AI732" s="17" t="n"/>
      <c r="AJ732" s="17" t="n"/>
    </row>
    <row r="733" ht="15.75" customHeight="1" s="44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/>
      <c r="Z733" s="17" t="n"/>
      <c r="AA733" s="17" t="n"/>
      <c r="AB733" s="17" t="n"/>
      <c r="AC733" s="17" t="n"/>
      <c r="AD733" s="17" t="n"/>
      <c r="AE733" s="17" t="n"/>
      <c r="AF733" s="17" t="n"/>
      <c r="AG733" s="17" t="n"/>
      <c r="AH733" s="17" t="n"/>
      <c r="AI733" s="17" t="n"/>
      <c r="AJ733" s="17" t="n"/>
    </row>
    <row r="734" ht="15.75" customHeight="1" s="4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/>
      <c r="Z734" s="17" t="n"/>
      <c r="AA734" s="17" t="n"/>
      <c r="AB734" s="17" t="n"/>
      <c r="AC734" s="17" t="n"/>
      <c r="AD734" s="17" t="n"/>
      <c r="AE734" s="17" t="n"/>
      <c r="AF734" s="17" t="n"/>
      <c r="AG734" s="17" t="n"/>
      <c r="AH734" s="17" t="n"/>
      <c r="AI734" s="17" t="n"/>
      <c r="AJ734" s="17" t="n"/>
    </row>
    <row r="735" ht="15.75" customHeight="1" s="44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/>
      <c r="Z735" s="17" t="n"/>
      <c r="AA735" s="17" t="n"/>
      <c r="AB735" s="17" t="n"/>
      <c r="AC735" s="17" t="n"/>
      <c r="AD735" s="17" t="n"/>
      <c r="AE735" s="17" t="n"/>
      <c r="AF735" s="17" t="n"/>
      <c r="AG735" s="17" t="n"/>
      <c r="AH735" s="17" t="n"/>
      <c r="AI735" s="17" t="n"/>
      <c r="AJ735" s="17" t="n"/>
    </row>
    <row r="736" ht="15.75" customHeight="1" s="44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/>
      <c r="Z736" s="17" t="n"/>
      <c r="AA736" s="17" t="n"/>
      <c r="AB736" s="17" t="n"/>
      <c r="AC736" s="17" t="n"/>
      <c r="AD736" s="17" t="n"/>
      <c r="AE736" s="17" t="n"/>
      <c r="AF736" s="17" t="n"/>
      <c r="AG736" s="17" t="n"/>
      <c r="AH736" s="17" t="n"/>
      <c r="AI736" s="17" t="n"/>
      <c r="AJ736" s="17" t="n"/>
    </row>
    <row r="737" ht="15.75" customHeight="1" s="44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/>
      <c r="Z737" s="17" t="n"/>
      <c r="AA737" s="17" t="n"/>
      <c r="AB737" s="17" t="n"/>
      <c r="AC737" s="17" t="n"/>
      <c r="AD737" s="17" t="n"/>
      <c r="AE737" s="17" t="n"/>
      <c r="AF737" s="17" t="n"/>
      <c r="AG737" s="17" t="n"/>
      <c r="AH737" s="17" t="n"/>
      <c r="AI737" s="17" t="n"/>
      <c r="AJ737" s="17" t="n"/>
    </row>
    <row r="738" ht="15.75" customHeight="1" s="44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/>
      <c r="Z738" s="17" t="n"/>
      <c r="AA738" s="17" t="n"/>
      <c r="AB738" s="17" t="n"/>
      <c r="AC738" s="17" t="n"/>
      <c r="AD738" s="17" t="n"/>
      <c r="AE738" s="17" t="n"/>
      <c r="AF738" s="17" t="n"/>
      <c r="AG738" s="17" t="n"/>
      <c r="AH738" s="17" t="n"/>
      <c r="AI738" s="17" t="n"/>
      <c r="AJ738" s="17" t="n"/>
    </row>
    <row r="739" ht="15.75" customHeight="1" s="44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/>
      <c r="Z739" s="17" t="n"/>
      <c r="AA739" s="17" t="n"/>
      <c r="AB739" s="17" t="n"/>
      <c r="AC739" s="17" t="n"/>
      <c r="AD739" s="17" t="n"/>
      <c r="AE739" s="17" t="n"/>
      <c r="AF739" s="17" t="n"/>
      <c r="AG739" s="17" t="n"/>
      <c r="AH739" s="17" t="n"/>
      <c r="AI739" s="17" t="n"/>
      <c r="AJ739" s="17" t="n"/>
    </row>
    <row r="740" ht="15.75" customHeight="1" s="44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/>
      <c r="Z740" s="17" t="n"/>
      <c r="AA740" s="17" t="n"/>
      <c r="AB740" s="17" t="n"/>
      <c r="AC740" s="17" t="n"/>
      <c r="AD740" s="17" t="n"/>
      <c r="AE740" s="17" t="n"/>
      <c r="AF740" s="17" t="n"/>
      <c r="AG740" s="17" t="n"/>
      <c r="AH740" s="17" t="n"/>
      <c r="AI740" s="17" t="n"/>
      <c r="AJ740" s="17" t="n"/>
    </row>
    <row r="741" ht="15.75" customHeight="1" s="44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/>
      <c r="Z741" s="17" t="n"/>
      <c r="AA741" s="17" t="n"/>
      <c r="AB741" s="17" t="n"/>
      <c r="AC741" s="17" t="n"/>
      <c r="AD741" s="17" t="n"/>
      <c r="AE741" s="17" t="n"/>
      <c r="AF741" s="17" t="n"/>
      <c r="AG741" s="17" t="n"/>
      <c r="AH741" s="17" t="n"/>
      <c r="AI741" s="17" t="n"/>
      <c r="AJ741" s="17" t="n"/>
    </row>
    <row r="742" ht="15.75" customHeight="1" s="44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/>
      <c r="Z742" s="17" t="n"/>
      <c r="AA742" s="17" t="n"/>
      <c r="AB742" s="17" t="n"/>
      <c r="AC742" s="17" t="n"/>
      <c r="AD742" s="17" t="n"/>
      <c r="AE742" s="17" t="n"/>
      <c r="AF742" s="17" t="n"/>
      <c r="AG742" s="17" t="n"/>
      <c r="AH742" s="17" t="n"/>
      <c r="AI742" s="17" t="n"/>
      <c r="AJ742" s="17" t="n"/>
    </row>
    <row r="743" ht="15.75" customHeight="1" s="44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/>
      <c r="Z743" s="17" t="n"/>
      <c r="AA743" s="17" t="n"/>
      <c r="AB743" s="17" t="n"/>
      <c r="AC743" s="17" t="n"/>
      <c r="AD743" s="17" t="n"/>
      <c r="AE743" s="17" t="n"/>
      <c r="AF743" s="17" t="n"/>
      <c r="AG743" s="17" t="n"/>
      <c r="AH743" s="17" t="n"/>
      <c r="AI743" s="17" t="n"/>
      <c r="AJ743" s="17" t="n"/>
    </row>
    <row r="744" ht="15.75" customHeight="1" s="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/>
      <c r="Z744" s="17" t="n"/>
      <c r="AA744" s="17" t="n"/>
      <c r="AB744" s="17" t="n"/>
      <c r="AC744" s="17" t="n"/>
      <c r="AD744" s="17" t="n"/>
      <c r="AE744" s="17" t="n"/>
      <c r="AF744" s="17" t="n"/>
      <c r="AG744" s="17" t="n"/>
      <c r="AH744" s="17" t="n"/>
      <c r="AI744" s="17" t="n"/>
      <c r="AJ744" s="17" t="n"/>
    </row>
    <row r="745" ht="15.75" customHeight="1" s="44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/>
      <c r="Z745" s="17" t="n"/>
      <c r="AA745" s="17" t="n"/>
      <c r="AB745" s="17" t="n"/>
      <c r="AC745" s="17" t="n"/>
      <c r="AD745" s="17" t="n"/>
      <c r="AE745" s="17" t="n"/>
      <c r="AF745" s="17" t="n"/>
      <c r="AG745" s="17" t="n"/>
      <c r="AH745" s="17" t="n"/>
      <c r="AI745" s="17" t="n"/>
      <c r="AJ745" s="17" t="n"/>
    </row>
    <row r="746" ht="15.75" customHeight="1" s="44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/>
      <c r="Z746" s="17" t="n"/>
      <c r="AA746" s="17" t="n"/>
      <c r="AB746" s="17" t="n"/>
      <c r="AC746" s="17" t="n"/>
      <c r="AD746" s="17" t="n"/>
      <c r="AE746" s="17" t="n"/>
      <c r="AF746" s="17" t="n"/>
      <c r="AG746" s="17" t="n"/>
      <c r="AH746" s="17" t="n"/>
      <c r="AI746" s="17" t="n"/>
      <c r="AJ746" s="17" t="n"/>
    </row>
    <row r="747" ht="15.75" customHeight="1" s="44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/>
      <c r="Z747" s="17" t="n"/>
      <c r="AA747" s="17" t="n"/>
      <c r="AB747" s="17" t="n"/>
      <c r="AC747" s="17" t="n"/>
      <c r="AD747" s="17" t="n"/>
      <c r="AE747" s="17" t="n"/>
      <c r="AF747" s="17" t="n"/>
      <c r="AG747" s="17" t="n"/>
      <c r="AH747" s="17" t="n"/>
      <c r="AI747" s="17" t="n"/>
      <c r="AJ747" s="17" t="n"/>
    </row>
    <row r="748" ht="15.75" customHeight="1" s="44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/>
      <c r="Z748" s="17" t="n"/>
      <c r="AA748" s="17" t="n"/>
      <c r="AB748" s="17" t="n"/>
      <c r="AC748" s="17" t="n"/>
      <c r="AD748" s="17" t="n"/>
      <c r="AE748" s="17" t="n"/>
      <c r="AF748" s="17" t="n"/>
      <c r="AG748" s="17" t="n"/>
      <c r="AH748" s="17" t="n"/>
      <c r="AI748" s="17" t="n"/>
      <c r="AJ748" s="17" t="n"/>
    </row>
    <row r="749" ht="15.75" customHeight="1" s="44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/>
      <c r="Z749" s="17" t="n"/>
      <c r="AA749" s="17" t="n"/>
      <c r="AB749" s="17" t="n"/>
      <c r="AC749" s="17" t="n"/>
      <c r="AD749" s="17" t="n"/>
      <c r="AE749" s="17" t="n"/>
      <c r="AF749" s="17" t="n"/>
      <c r="AG749" s="17" t="n"/>
      <c r="AH749" s="17" t="n"/>
      <c r="AI749" s="17" t="n"/>
      <c r="AJ749" s="17" t="n"/>
    </row>
    <row r="750" ht="15.75" customHeight="1" s="44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/>
      <c r="Z750" s="17" t="n"/>
      <c r="AA750" s="17" t="n"/>
      <c r="AB750" s="17" t="n"/>
      <c r="AC750" s="17" t="n"/>
      <c r="AD750" s="17" t="n"/>
      <c r="AE750" s="17" t="n"/>
      <c r="AF750" s="17" t="n"/>
      <c r="AG750" s="17" t="n"/>
      <c r="AH750" s="17" t="n"/>
      <c r="AI750" s="17" t="n"/>
      <c r="AJ750" s="17" t="n"/>
    </row>
    <row r="751" ht="15.75" customHeight="1" s="44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/>
      <c r="Z751" s="17" t="n"/>
      <c r="AA751" s="17" t="n"/>
      <c r="AB751" s="17" t="n"/>
      <c r="AC751" s="17" t="n"/>
      <c r="AD751" s="17" t="n"/>
      <c r="AE751" s="17" t="n"/>
      <c r="AF751" s="17" t="n"/>
      <c r="AG751" s="17" t="n"/>
      <c r="AH751" s="17" t="n"/>
      <c r="AI751" s="17" t="n"/>
      <c r="AJ751" s="17" t="n"/>
    </row>
    <row r="752" ht="15.75" customHeight="1" s="44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/>
      <c r="Z752" s="17" t="n"/>
      <c r="AA752" s="17" t="n"/>
      <c r="AB752" s="17" t="n"/>
      <c r="AC752" s="17" t="n"/>
      <c r="AD752" s="17" t="n"/>
      <c r="AE752" s="17" t="n"/>
      <c r="AF752" s="17" t="n"/>
      <c r="AG752" s="17" t="n"/>
      <c r="AH752" s="17" t="n"/>
      <c r="AI752" s="17" t="n"/>
      <c r="AJ752" s="17" t="n"/>
    </row>
    <row r="753" ht="15.75" customHeight="1" s="44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/>
      <c r="Z753" s="17" t="n"/>
      <c r="AA753" s="17" t="n"/>
      <c r="AB753" s="17" t="n"/>
      <c r="AC753" s="17" t="n"/>
      <c r="AD753" s="17" t="n"/>
      <c r="AE753" s="17" t="n"/>
      <c r="AF753" s="17" t="n"/>
      <c r="AG753" s="17" t="n"/>
      <c r="AH753" s="17" t="n"/>
      <c r="AI753" s="17" t="n"/>
      <c r="AJ753" s="17" t="n"/>
    </row>
    <row r="754" ht="15.75" customHeight="1" s="4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/>
      <c r="Z754" s="17" t="n"/>
      <c r="AA754" s="17" t="n"/>
      <c r="AB754" s="17" t="n"/>
      <c r="AC754" s="17" t="n"/>
      <c r="AD754" s="17" t="n"/>
      <c r="AE754" s="17" t="n"/>
      <c r="AF754" s="17" t="n"/>
      <c r="AG754" s="17" t="n"/>
      <c r="AH754" s="17" t="n"/>
      <c r="AI754" s="17" t="n"/>
      <c r="AJ754" s="17" t="n"/>
    </row>
    <row r="755" ht="15.75" customHeight="1" s="44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/>
      <c r="Z755" s="17" t="n"/>
      <c r="AA755" s="17" t="n"/>
      <c r="AB755" s="17" t="n"/>
      <c r="AC755" s="17" t="n"/>
      <c r="AD755" s="17" t="n"/>
      <c r="AE755" s="17" t="n"/>
      <c r="AF755" s="17" t="n"/>
      <c r="AG755" s="17" t="n"/>
      <c r="AH755" s="17" t="n"/>
      <c r="AI755" s="17" t="n"/>
      <c r="AJ755" s="17" t="n"/>
    </row>
    <row r="756" ht="15.75" customHeight="1" s="44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/>
      <c r="Z756" s="17" t="n"/>
      <c r="AA756" s="17" t="n"/>
      <c r="AB756" s="17" t="n"/>
      <c r="AC756" s="17" t="n"/>
      <c r="AD756" s="17" t="n"/>
      <c r="AE756" s="17" t="n"/>
      <c r="AF756" s="17" t="n"/>
      <c r="AG756" s="17" t="n"/>
      <c r="AH756" s="17" t="n"/>
      <c r="AI756" s="17" t="n"/>
      <c r="AJ756" s="17" t="n"/>
    </row>
    <row r="757" ht="15.75" customHeight="1" s="44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/>
      <c r="Z757" s="17" t="n"/>
      <c r="AA757" s="17" t="n"/>
      <c r="AB757" s="17" t="n"/>
      <c r="AC757" s="17" t="n"/>
      <c r="AD757" s="17" t="n"/>
      <c r="AE757" s="17" t="n"/>
      <c r="AF757" s="17" t="n"/>
      <c r="AG757" s="17" t="n"/>
      <c r="AH757" s="17" t="n"/>
      <c r="AI757" s="17" t="n"/>
      <c r="AJ757" s="17" t="n"/>
    </row>
    <row r="758" ht="15.75" customHeight="1" s="44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/>
      <c r="Z758" s="17" t="n"/>
      <c r="AA758" s="17" t="n"/>
      <c r="AB758" s="17" t="n"/>
      <c r="AC758" s="17" t="n"/>
      <c r="AD758" s="17" t="n"/>
      <c r="AE758" s="17" t="n"/>
      <c r="AF758" s="17" t="n"/>
      <c r="AG758" s="17" t="n"/>
      <c r="AH758" s="17" t="n"/>
      <c r="AI758" s="17" t="n"/>
      <c r="AJ758" s="17" t="n"/>
    </row>
    <row r="759" ht="15.75" customHeight="1" s="44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/>
      <c r="Z759" s="17" t="n"/>
      <c r="AA759" s="17" t="n"/>
      <c r="AB759" s="17" t="n"/>
      <c r="AC759" s="17" t="n"/>
      <c r="AD759" s="17" t="n"/>
      <c r="AE759" s="17" t="n"/>
      <c r="AF759" s="17" t="n"/>
      <c r="AG759" s="17" t="n"/>
      <c r="AH759" s="17" t="n"/>
      <c r="AI759" s="17" t="n"/>
      <c r="AJ759" s="17" t="n"/>
    </row>
    <row r="760" ht="15.75" customHeight="1" s="44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/>
      <c r="Z760" s="17" t="n"/>
      <c r="AA760" s="17" t="n"/>
      <c r="AB760" s="17" t="n"/>
      <c r="AC760" s="17" t="n"/>
      <c r="AD760" s="17" t="n"/>
      <c r="AE760" s="17" t="n"/>
      <c r="AF760" s="17" t="n"/>
      <c r="AG760" s="17" t="n"/>
      <c r="AH760" s="17" t="n"/>
      <c r="AI760" s="17" t="n"/>
      <c r="AJ760" s="17" t="n"/>
    </row>
    <row r="761" ht="15.75" customHeight="1" s="44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/>
      <c r="Z761" s="17" t="n"/>
      <c r="AA761" s="17" t="n"/>
      <c r="AB761" s="17" t="n"/>
      <c r="AC761" s="17" t="n"/>
      <c r="AD761" s="17" t="n"/>
      <c r="AE761" s="17" t="n"/>
      <c r="AF761" s="17" t="n"/>
      <c r="AG761" s="17" t="n"/>
      <c r="AH761" s="17" t="n"/>
      <c r="AI761" s="17" t="n"/>
      <c r="AJ761" s="17" t="n"/>
    </row>
    <row r="762" ht="15.75" customHeight="1" s="44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/>
      <c r="Z762" s="17" t="n"/>
      <c r="AA762" s="17" t="n"/>
      <c r="AB762" s="17" t="n"/>
      <c r="AC762" s="17" t="n"/>
      <c r="AD762" s="17" t="n"/>
      <c r="AE762" s="17" t="n"/>
      <c r="AF762" s="17" t="n"/>
      <c r="AG762" s="17" t="n"/>
      <c r="AH762" s="17" t="n"/>
      <c r="AI762" s="17" t="n"/>
      <c r="AJ762" s="17" t="n"/>
    </row>
    <row r="763" ht="15.75" customHeight="1" s="44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/>
      <c r="Z763" s="17" t="n"/>
      <c r="AA763" s="17" t="n"/>
      <c r="AB763" s="17" t="n"/>
      <c r="AC763" s="17" t="n"/>
      <c r="AD763" s="17" t="n"/>
      <c r="AE763" s="17" t="n"/>
      <c r="AF763" s="17" t="n"/>
      <c r="AG763" s="17" t="n"/>
      <c r="AH763" s="17" t="n"/>
      <c r="AI763" s="17" t="n"/>
      <c r="AJ763" s="17" t="n"/>
    </row>
    <row r="764" ht="15.75" customHeight="1" s="4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/>
      <c r="Z764" s="17" t="n"/>
      <c r="AA764" s="17" t="n"/>
      <c r="AB764" s="17" t="n"/>
      <c r="AC764" s="17" t="n"/>
      <c r="AD764" s="17" t="n"/>
      <c r="AE764" s="17" t="n"/>
      <c r="AF764" s="17" t="n"/>
      <c r="AG764" s="17" t="n"/>
      <c r="AH764" s="17" t="n"/>
      <c r="AI764" s="17" t="n"/>
      <c r="AJ764" s="17" t="n"/>
    </row>
    <row r="765" ht="15.75" customHeight="1" s="44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/>
      <c r="Z765" s="17" t="n"/>
      <c r="AA765" s="17" t="n"/>
      <c r="AB765" s="17" t="n"/>
      <c r="AC765" s="17" t="n"/>
      <c r="AD765" s="17" t="n"/>
      <c r="AE765" s="17" t="n"/>
      <c r="AF765" s="17" t="n"/>
      <c r="AG765" s="17" t="n"/>
      <c r="AH765" s="17" t="n"/>
      <c r="AI765" s="17" t="n"/>
      <c r="AJ765" s="17" t="n"/>
    </row>
    <row r="766" ht="15.75" customHeight="1" s="44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/>
      <c r="Z766" s="17" t="n"/>
      <c r="AA766" s="17" t="n"/>
      <c r="AB766" s="17" t="n"/>
      <c r="AC766" s="17" t="n"/>
      <c r="AD766" s="17" t="n"/>
      <c r="AE766" s="17" t="n"/>
      <c r="AF766" s="17" t="n"/>
      <c r="AG766" s="17" t="n"/>
      <c r="AH766" s="17" t="n"/>
      <c r="AI766" s="17" t="n"/>
      <c r="AJ766" s="17" t="n"/>
    </row>
    <row r="767" ht="15.75" customHeight="1" s="44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/>
      <c r="Z767" s="17" t="n"/>
      <c r="AA767" s="17" t="n"/>
      <c r="AB767" s="17" t="n"/>
      <c r="AC767" s="17" t="n"/>
      <c r="AD767" s="17" t="n"/>
      <c r="AE767" s="17" t="n"/>
      <c r="AF767" s="17" t="n"/>
      <c r="AG767" s="17" t="n"/>
      <c r="AH767" s="17" t="n"/>
      <c r="AI767" s="17" t="n"/>
      <c r="AJ767" s="17" t="n"/>
    </row>
    <row r="768" ht="15.75" customHeight="1" s="44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/>
      <c r="Z768" s="17" t="n"/>
      <c r="AA768" s="17" t="n"/>
      <c r="AB768" s="17" t="n"/>
      <c r="AC768" s="17" t="n"/>
      <c r="AD768" s="17" t="n"/>
      <c r="AE768" s="17" t="n"/>
      <c r="AF768" s="17" t="n"/>
      <c r="AG768" s="17" t="n"/>
      <c r="AH768" s="17" t="n"/>
      <c r="AI768" s="17" t="n"/>
      <c r="AJ768" s="17" t="n"/>
    </row>
    <row r="769" ht="15.75" customHeight="1" s="44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/>
      <c r="Z769" s="17" t="n"/>
      <c r="AA769" s="17" t="n"/>
      <c r="AB769" s="17" t="n"/>
      <c r="AC769" s="17" t="n"/>
      <c r="AD769" s="17" t="n"/>
      <c r="AE769" s="17" t="n"/>
      <c r="AF769" s="17" t="n"/>
      <c r="AG769" s="17" t="n"/>
      <c r="AH769" s="17" t="n"/>
      <c r="AI769" s="17" t="n"/>
      <c r="AJ769" s="17" t="n"/>
    </row>
    <row r="770" ht="15.75" customHeight="1" s="44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/>
      <c r="Z770" s="17" t="n"/>
      <c r="AA770" s="17" t="n"/>
      <c r="AB770" s="17" t="n"/>
      <c r="AC770" s="17" t="n"/>
      <c r="AD770" s="17" t="n"/>
      <c r="AE770" s="17" t="n"/>
      <c r="AF770" s="17" t="n"/>
      <c r="AG770" s="17" t="n"/>
      <c r="AH770" s="17" t="n"/>
      <c r="AI770" s="17" t="n"/>
      <c r="AJ770" s="17" t="n"/>
    </row>
    <row r="771" ht="15.75" customHeight="1" s="44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/>
      <c r="Z771" s="17" t="n"/>
      <c r="AA771" s="17" t="n"/>
      <c r="AB771" s="17" t="n"/>
      <c r="AC771" s="17" t="n"/>
      <c r="AD771" s="17" t="n"/>
      <c r="AE771" s="17" t="n"/>
      <c r="AF771" s="17" t="n"/>
      <c r="AG771" s="17" t="n"/>
      <c r="AH771" s="17" t="n"/>
      <c r="AI771" s="17" t="n"/>
      <c r="AJ771" s="17" t="n"/>
    </row>
    <row r="772" ht="15.75" customHeight="1" s="44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/>
      <c r="Z772" s="17" t="n"/>
      <c r="AA772" s="17" t="n"/>
      <c r="AB772" s="17" t="n"/>
      <c r="AC772" s="17" t="n"/>
      <c r="AD772" s="17" t="n"/>
      <c r="AE772" s="17" t="n"/>
      <c r="AF772" s="17" t="n"/>
      <c r="AG772" s="17" t="n"/>
      <c r="AH772" s="17" t="n"/>
      <c r="AI772" s="17" t="n"/>
      <c r="AJ772" s="17" t="n"/>
    </row>
    <row r="773" ht="15.75" customHeight="1" s="44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/>
      <c r="Z773" s="17" t="n"/>
      <c r="AA773" s="17" t="n"/>
      <c r="AB773" s="17" t="n"/>
      <c r="AC773" s="17" t="n"/>
      <c r="AD773" s="17" t="n"/>
      <c r="AE773" s="17" t="n"/>
      <c r="AF773" s="17" t="n"/>
      <c r="AG773" s="17" t="n"/>
      <c r="AH773" s="17" t="n"/>
      <c r="AI773" s="17" t="n"/>
      <c r="AJ773" s="17" t="n"/>
    </row>
    <row r="774" ht="15.75" customHeight="1" s="4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/>
      <c r="Z774" s="17" t="n"/>
      <c r="AA774" s="17" t="n"/>
      <c r="AB774" s="17" t="n"/>
      <c r="AC774" s="17" t="n"/>
      <c r="AD774" s="17" t="n"/>
      <c r="AE774" s="17" t="n"/>
      <c r="AF774" s="17" t="n"/>
      <c r="AG774" s="17" t="n"/>
      <c r="AH774" s="17" t="n"/>
      <c r="AI774" s="17" t="n"/>
      <c r="AJ774" s="17" t="n"/>
    </row>
    <row r="775" ht="15.75" customHeight="1" s="44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7" t="n"/>
      <c r="Z775" s="17" t="n"/>
      <c r="AA775" s="17" t="n"/>
      <c r="AB775" s="17" t="n"/>
      <c r="AC775" s="17" t="n"/>
      <c r="AD775" s="17" t="n"/>
      <c r="AE775" s="17" t="n"/>
      <c r="AF775" s="17" t="n"/>
      <c r="AG775" s="17" t="n"/>
      <c r="AH775" s="17" t="n"/>
      <c r="AI775" s="17" t="n"/>
      <c r="AJ775" s="17" t="n"/>
    </row>
    <row r="776" ht="15.75" customHeight="1" s="44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/>
      <c r="Z776" s="17" t="n"/>
      <c r="AA776" s="17" t="n"/>
      <c r="AB776" s="17" t="n"/>
      <c r="AC776" s="17" t="n"/>
      <c r="AD776" s="17" t="n"/>
      <c r="AE776" s="17" t="n"/>
      <c r="AF776" s="17" t="n"/>
      <c r="AG776" s="17" t="n"/>
      <c r="AH776" s="17" t="n"/>
      <c r="AI776" s="17" t="n"/>
      <c r="AJ776" s="17" t="n"/>
    </row>
    <row r="777" ht="15.75" customHeight="1" s="44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/>
      <c r="Z777" s="17" t="n"/>
      <c r="AA777" s="17" t="n"/>
      <c r="AB777" s="17" t="n"/>
      <c r="AC777" s="17" t="n"/>
      <c r="AD777" s="17" t="n"/>
      <c r="AE777" s="17" t="n"/>
      <c r="AF777" s="17" t="n"/>
      <c r="AG777" s="17" t="n"/>
      <c r="AH777" s="17" t="n"/>
      <c r="AI777" s="17" t="n"/>
      <c r="AJ777" s="17" t="n"/>
    </row>
    <row r="778" ht="15.75" customHeight="1" s="44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/>
      <c r="Z778" s="17" t="n"/>
      <c r="AA778" s="17" t="n"/>
      <c r="AB778" s="17" t="n"/>
      <c r="AC778" s="17" t="n"/>
      <c r="AD778" s="17" t="n"/>
      <c r="AE778" s="17" t="n"/>
      <c r="AF778" s="17" t="n"/>
      <c r="AG778" s="17" t="n"/>
      <c r="AH778" s="17" t="n"/>
      <c r="AI778" s="17" t="n"/>
      <c r="AJ778" s="17" t="n"/>
    </row>
    <row r="779" ht="15.75" customHeight="1" s="44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/>
      <c r="Z779" s="17" t="n"/>
      <c r="AA779" s="17" t="n"/>
      <c r="AB779" s="17" t="n"/>
      <c r="AC779" s="17" t="n"/>
      <c r="AD779" s="17" t="n"/>
      <c r="AE779" s="17" t="n"/>
      <c r="AF779" s="17" t="n"/>
      <c r="AG779" s="17" t="n"/>
      <c r="AH779" s="17" t="n"/>
      <c r="AI779" s="17" t="n"/>
      <c r="AJ779" s="17" t="n"/>
    </row>
    <row r="780" ht="15.75" customHeight="1" s="44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/>
      <c r="Z780" s="17" t="n"/>
      <c r="AA780" s="17" t="n"/>
      <c r="AB780" s="17" t="n"/>
      <c r="AC780" s="17" t="n"/>
      <c r="AD780" s="17" t="n"/>
      <c r="AE780" s="17" t="n"/>
      <c r="AF780" s="17" t="n"/>
      <c r="AG780" s="17" t="n"/>
      <c r="AH780" s="17" t="n"/>
      <c r="AI780" s="17" t="n"/>
      <c r="AJ780" s="17" t="n"/>
    </row>
    <row r="781" ht="15.75" customHeight="1" s="44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/>
      <c r="Z781" s="17" t="n"/>
      <c r="AA781" s="17" t="n"/>
      <c r="AB781" s="17" t="n"/>
      <c r="AC781" s="17" t="n"/>
      <c r="AD781" s="17" t="n"/>
      <c r="AE781" s="17" t="n"/>
      <c r="AF781" s="17" t="n"/>
      <c r="AG781" s="17" t="n"/>
      <c r="AH781" s="17" t="n"/>
      <c r="AI781" s="17" t="n"/>
      <c r="AJ781" s="17" t="n"/>
    </row>
    <row r="782" ht="15.75" customHeight="1" s="44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/>
      <c r="Z782" s="17" t="n"/>
      <c r="AA782" s="17" t="n"/>
      <c r="AB782" s="17" t="n"/>
      <c r="AC782" s="17" t="n"/>
      <c r="AD782" s="17" t="n"/>
      <c r="AE782" s="17" t="n"/>
      <c r="AF782" s="17" t="n"/>
      <c r="AG782" s="17" t="n"/>
      <c r="AH782" s="17" t="n"/>
      <c r="AI782" s="17" t="n"/>
      <c r="AJ782" s="17" t="n"/>
    </row>
    <row r="783" ht="15.75" customHeight="1" s="44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/>
      <c r="Z783" s="17" t="n"/>
      <c r="AA783" s="17" t="n"/>
      <c r="AB783" s="17" t="n"/>
      <c r="AC783" s="17" t="n"/>
      <c r="AD783" s="17" t="n"/>
      <c r="AE783" s="17" t="n"/>
      <c r="AF783" s="17" t="n"/>
      <c r="AG783" s="17" t="n"/>
      <c r="AH783" s="17" t="n"/>
      <c r="AI783" s="17" t="n"/>
      <c r="AJ783" s="17" t="n"/>
    </row>
    <row r="784" ht="15.75" customHeight="1" s="4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/>
      <c r="Z784" s="17" t="n"/>
      <c r="AA784" s="17" t="n"/>
      <c r="AB784" s="17" t="n"/>
      <c r="AC784" s="17" t="n"/>
      <c r="AD784" s="17" t="n"/>
      <c r="AE784" s="17" t="n"/>
      <c r="AF784" s="17" t="n"/>
      <c r="AG784" s="17" t="n"/>
      <c r="AH784" s="17" t="n"/>
      <c r="AI784" s="17" t="n"/>
      <c r="AJ784" s="17" t="n"/>
    </row>
    <row r="785" ht="15.75" customHeight="1" s="44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/>
      <c r="Z785" s="17" t="n"/>
      <c r="AA785" s="17" t="n"/>
      <c r="AB785" s="17" t="n"/>
      <c r="AC785" s="17" t="n"/>
      <c r="AD785" s="17" t="n"/>
      <c r="AE785" s="17" t="n"/>
      <c r="AF785" s="17" t="n"/>
      <c r="AG785" s="17" t="n"/>
      <c r="AH785" s="17" t="n"/>
      <c r="AI785" s="17" t="n"/>
      <c r="AJ785" s="17" t="n"/>
    </row>
    <row r="786" ht="15.75" customHeight="1" s="44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/>
      <c r="Z786" s="17" t="n"/>
      <c r="AA786" s="17" t="n"/>
      <c r="AB786" s="17" t="n"/>
      <c r="AC786" s="17" t="n"/>
      <c r="AD786" s="17" t="n"/>
      <c r="AE786" s="17" t="n"/>
      <c r="AF786" s="17" t="n"/>
      <c r="AG786" s="17" t="n"/>
      <c r="AH786" s="17" t="n"/>
      <c r="AI786" s="17" t="n"/>
      <c r="AJ786" s="17" t="n"/>
    </row>
    <row r="787" ht="15.75" customHeight="1" s="44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/>
      <c r="Z787" s="17" t="n"/>
      <c r="AA787" s="17" t="n"/>
      <c r="AB787" s="17" t="n"/>
      <c r="AC787" s="17" t="n"/>
      <c r="AD787" s="17" t="n"/>
      <c r="AE787" s="17" t="n"/>
      <c r="AF787" s="17" t="n"/>
      <c r="AG787" s="17" t="n"/>
      <c r="AH787" s="17" t="n"/>
      <c r="AI787" s="17" t="n"/>
      <c r="AJ787" s="17" t="n"/>
    </row>
    <row r="788" ht="15.75" customHeight="1" s="44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/>
      <c r="Z788" s="17" t="n"/>
      <c r="AA788" s="17" t="n"/>
      <c r="AB788" s="17" t="n"/>
      <c r="AC788" s="17" t="n"/>
      <c r="AD788" s="17" t="n"/>
      <c r="AE788" s="17" t="n"/>
      <c r="AF788" s="17" t="n"/>
      <c r="AG788" s="17" t="n"/>
      <c r="AH788" s="17" t="n"/>
      <c r="AI788" s="17" t="n"/>
      <c r="AJ788" s="17" t="n"/>
    </row>
    <row r="789" ht="15.75" customHeight="1" s="44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/>
      <c r="Z789" s="17" t="n"/>
      <c r="AA789" s="17" t="n"/>
      <c r="AB789" s="17" t="n"/>
      <c r="AC789" s="17" t="n"/>
      <c r="AD789" s="17" t="n"/>
      <c r="AE789" s="17" t="n"/>
      <c r="AF789" s="17" t="n"/>
      <c r="AG789" s="17" t="n"/>
      <c r="AH789" s="17" t="n"/>
      <c r="AI789" s="17" t="n"/>
      <c r="AJ789" s="17" t="n"/>
    </row>
    <row r="790" ht="15.75" customHeight="1" s="44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/>
      <c r="Z790" s="17" t="n"/>
      <c r="AA790" s="17" t="n"/>
      <c r="AB790" s="17" t="n"/>
      <c r="AC790" s="17" t="n"/>
      <c r="AD790" s="17" t="n"/>
      <c r="AE790" s="17" t="n"/>
      <c r="AF790" s="17" t="n"/>
      <c r="AG790" s="17" t="n"/>
      <c r="AH790" s="17" t="n"/>
      <c r="AI790" s="17" t="n"/>
      <c r="AJ790" s="17" t="n"/>
    </row>
    <row r="791" ht="15.75" customHeight="1" s="44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/>
      <c r="Z791" s="17" t="n"/>
      <c r="AA791" s="17" t="n"/>
      <c r="AB791" s="17" t="n"/>
      <c r="AC791" s="17" t="n"/>
      <c r="AD791" s="17" t="n"/>
      <c r="AE791" s="17" t="n"/>
      <c r="AF791" s="17" t="n"/>
      <c r="AG791" s="17" t="n"/>
      <c r="AH791" s="17" t="n"/>
      <c r="AI791" s="17" t="n"/>
      <c r="AJ791" s="17" t="n"/>
    </row>
    <row r="792" ht="15.75" customHeight="1" s="44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/>
      <c r="Z792" s="17" t="n"/>
      <c r="AA792" s="17" t="n"/>
      <c r="AB792" s="17" t="n"/>
      <c r="AC792" s="17" t="n"/>
      <c r="AD792" s="17" t="n"/>
      <c r="AE792" s="17" t="n"/>
      <c r="AF792" s="17" t="n"/>
      <c r="AG792" s="17" t="n"/>
      <c r="AH792" s="17" t="n"/>
      <c r="AI792" s="17" t="n"/>
      <c r="AJ792" s="17" t="n"/>
    </row>
    <row r="793" ht="15.75" customHeight="1" s="44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/>
      <c r="Z793" s="17" t="n"/>
      <c r="AA793" s="17" t="n"/>
      <c r="AB793" s="17" t="n"/>
      <c r="AC793" s="17" t="n"/>
      <c r="AD793" s="17" t="n"/>
      <c r="AE793" s="17" t="n"/>
      <c r="AF793" s="17" t="n"/>
      <c r="AG793" s="17" t="n"/>
      <c r="AH793" s="17" t="n"/>
      <c r="AI793" s="17" t="n"/>
      <c r="AJ793" s="17" t="n"/>
    </row>
    <row r="794" ht="15.75" customHeight="1" s="4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/>
      <c r="Z794" s="17" t="n"/>
      <c r="AA794" s="17" t="n"/>
      <c r="AB794" s="17" t="n"/>
      <c r="AC794" s="17" t="n"/>
      <c r="AD794" s="17" t="n"/>
      <c r="AE794" s="17" t="n"/>
      <c r="AF794" s="17" t="n"/>
      <c r="AG794" s="17" t="n"/>
      <c r="AH794" s="17" t="n"/>
      <c r="AI794" s="17" t="n"/>
      <c r="AJ794" s="17" t="n"/>
    </row>
    <row r="795" ht="15.75" customHeight="1" s="44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/>
      <c r="Z795" s="17" t="n"/>
      <c r="AA795" s="17" t="n"/>
      <c r="AB795" s="17" t="n"/>
      <c r="AC795" s="17" t="n"/>
      <c r="AD795" s="17" t="n"/>
      <c r="AE795" s="17" t="n"/>
      <c r="AF795" s="17" t="n"/>
      <c r="AG795" s="17" t="n"/>
      <c r="AH795" s="17" t="n"/>
      <c r="AI795" s="17" t="n"/>
      <c r="AJ795" s="17" t="n"/>
    </row>
    <row r="796" ht="15.75" customHeight="1" s="44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/>
      <c r="Z796" s="17" t="n"/>
      <c r="AA796" s="17" t="n"/>
      <c r="AB796" s="17" t="n"/>
      <c r="AC796" s="17" t="n"/>
      <c r="AD796" s="17" t="n"/>
      <c r="AE796" s="17" t="n"/>
      <c r="AF796" s="17" t="n"/>
      <c r="AG796" s="17" t="n"/>
      <c r="AH796" s="17" t="n"/>
      <c r="AI796" s="17" t="n"/>
      <c r="AJ796" s="17" t="n"/>
    </row>
    <row r="797" ht="15.75" customHeight="1" s="44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/>
      <c r="Z797" s="17" t="n"/>
      <c r="AA797" s="17" t="n"/>
      <c r="AB797" s="17" t="n"/>
      <c r="AC797" s="17" t="n"/>
      <c r="AD797" s="17" t="n"/>
      <c r="AE797" s="17" t="n"/>
      <c r="AF797" s="17" t="n"/>
      <c r="AG797" s="17" t="n"/>
      <c r="AH797" s="17" t="n"/>
      <c r="AI797" s="17" t="n"/>
      <c r="AJ797" s="17" t="n"/>
    </row>
    <row r="798" ht="15.75" customHeight="1" s="44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/>
      <c r="Z798" s="17" t="n"/>
      <c r="AA798" s="17" t="n"/>
      <c r="AB798" s="17" t="n"/>
      <c r="AC798" s="17" t="n"/>
      <c r="AD798" s="17" t="n"/>
      <c r="AE798" s="17" t="n"/>
      <c r="AF798" s="17" t="n"/>
      <c r="AG798" s="17" t="n"/>
      <c r="AH798" s="17" t="n"/>
      <c r="AI798" s="17" t="n"/>
      <c r="AJ798" s="17" t="n"/>
    </row>
    <row r="799" ht="15.75" customHeight="1" s="44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/>
      <c r="Z799" s="17" t="n"/>
      <c r="AA799" s="17" t="n"/>
      <c r="AB799" s="17" t="n"/>
      <c r="AC799" s="17" t="n"/>
      <c r="AD799" s="17" t="n"/>
      <c r="AE799" s="17" t="n"/>
      <c r="AF799" s="17" t="n"/>
      <c r="AG799" s="17" t="n"/>
      <c r="AH799" s="17" t="n"/>
      <c r="AI799" s="17" t="n"/>
      <c r="AJ799" s="17" t="n"/>
    </row>
    <row r="800" ht="15.75" customHeight="1" s="44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/>
      <c r="Z800" s="17" t="n"/>
      <c r="AA800" s="17" t="n"/>
      <c r="AB800" s="17" t="n"/>
      <c r="AC800" s="17" t="n"/>
      <c r="AD800" s="17" t="n"/>
      <c r="AE800" s="17" t="n"/>
      <c r="AF800" s="17" t="n"/>
      <c r="AG800" s="17" t="n"/>
      <c r="AH800" s="17" t="n"/>
      <c r="AI800" s="17" t="n"/>
      <c r="AJ800" s="17" t="n"/>
    </row>
    <row r="801" ht="15.75" customHeight="1" s="44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/>
      <c r="Z801" s="17" t="n"/>
      <c r="AA801" s="17" t="n"/>
      <c r="AB801" s="17" t="n"/>
      <c r="AC801" s="17" t="n"/>
      <c r="AD801" s="17" t="n"/>
      <c r="AE801" s="17" t="n"/>
      <c r="AF801" s="17" t="n"/>
      <c r="AG801" s="17" t="n"/>
      <c r="AH801" s="17" t="n"/>
      <c r="AI801" s="17" t="n"/>
      <c r="AJ801" s="17" t="n"/>
    </row>
    <row r="802" ht="15.75" customHeight="1" s="44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/>
      <c r="Z802" s="17" t="n"/>
      <c r="AA802" s="17" t="n"/>
      <c r="AB802" s="17" t="n"/>
      <c r="AC802" s="17" t="n"/>
      <c r="AD802" s="17" t="n"/>
      <c r="AE802" s="17" t="n"/>
      <c r="AF802" s="17" t="n"/>
      <c r="AG802" s="17" t="n"/>
      <c r="AH802" s="17" t="n"/>
      <c r="AI802" s="17" t="n"/>
      <c r="AJ802" s="17" t="n"/>
    </row>
    <row r="803" ht="15.75" customHeight="1" s="44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/>
      <c r="Z803" s="17" t="n"/>
      <c r="AA803" s="17" t="n"/>
      <c r="AB803" s="17" t="n"/>
      <c r="AC803" s="17" t="n"/>
      <c r="AD803" s="17" t="n"/>
      <c r="AE803" s="17" t="n"/>
      <c r="AF803" s="17" t="n"/>
      <c r="AG803" s="17" t="n"/>
      <c r="AH803" s="17" t="n"/>
      <c r="AI803" s="17" t="n"/>
      <c r="AJ803" s="17" t="n"/>
    </row>
    <row r="804" ht="15.75" customHeight="1" s="4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7" t="n"/>
      <c r="AA804" s="17" t="n"/>
      <c r="AB804" s="17" t="n"/>
      <c r="AC804" s="17" t="n"/>
      <c r="AD804" s="17" t="n"/>
      <c r="AE804" s="17" t="n"/>
      <c r="AF804" s="17" t="n"/>
      <c r="AG804" s="17" t="n"/>
      <c r="AH804" s="17" t="n"/>
      <c r="AI804" s="17" t="n"/>
      <c r="AJ804" s="17" t="n"/>
    </row>
    <row r="805" ht="15.75" customHeight="1" s="44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/>
      <c r="Z805" s="17" t="n"/>
      <c r="AA805" s="17" t="n"/>
      <c r="AB805" s="17" t="n"/>
      <c r="AC805" s="17" t="n"/>
      <c r="AD805" s="17" t="n"/>
      <c r="AE805" s="17" t="n"/>
      <c r="AF805" s="17" t="n"/>
      <c r="AG805" s="17" t="n"/>
      <c r="AH805" s="17" t="n"/>
      <c r="AI805" s="17" t="n"/>
      <c r="AJ805" s="17" t="n"/>
    </row>
    <row r="806" ht="15.75" customHeight="1" s="44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/>
      <c r="Z806" s="17" t="n"/>
      <c r="AA806" s="17" t="n"/>
      <c r="AB806" s="17" t="n"/>
      <c r="AC806" s="17" t="n"/>
      <c r="AD806" s="17" t="n"/>
      <c r="AE806" s="17" t="n"/>
      <c r="AF806" s="17" t="n"/>
      <c r="AG806" s="17" t="n"/>
      <c r="AH806" s="17" t="n"/>
      <c r="AI806" s="17" t="n"/>
      <c r="AJ806" s="17" t="n"/>
    </row>
    <row r="807" ht="15.75" customHeight="1" s="44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/>
      <c r="Z807" s="17" t="n"/>
      <c r="AA807" s="17" t="n"/>
      <c r="AB807" s="17" t="n"/>
      <c r="AC807" s="17" t="n"/>
      <c r="AD807" s="17" t="n"/>
      <c r="AE807" s="17" t="n"/>
      <c r="AF807" s="17" t="n"/>
      <c r="AG807" s="17" t="n"/>
      <c r="AH807" s="17" t="n"/>
      <c r="AI807" s="17" t="n"/>
      <c r="AJ807" s="17" t="n"/>
    </row>
    <row r="808" ht="15.75" customHeight="1" s="44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/>
      <c r="Z808" s="17" t="n"/>
      <c r="AA808" s="17" t="n"/>
      <c r="AB808" s="17" t="n"/>
      <c r="AC808" s="17" t="n"/>
      <c r="AD808" s="17" t="n"/>
      <c r="AE808" s="17" t="n"/>
      <c r="AF808" s="17" t="n"/>
      <c r="AG808" s="17" t="n"/>
      <c r="AH808" s="17" t="n"/>
      <c r="AI808" s="17" t="n"/>
      <c r="AJ808" s="17" t="n"/>
    </row>
    <row r="809" ht="15.75" customHeight="1" s="44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/>
      <c r="Z809" s="17" t="n"/>
      <c r="AA809" s="17" t="n"/>
      <c r="AB809" s="17" t="n"/>
      <c r="AC809" s="17" t="n"/>
      <c r="AD809" s="17" t="n"/>
      <c r="AE809" s="17" t="n"/>
      <c r="AF809" s="17" t="n"/>
      <c r="AG809" s="17" t="n"/>
      <c r="AH809" s="17" t="n"/>
      <c r="AI809" s="17" t="n"/>
      <c r="AJ809" s="17" t="n"/>
    </row>
    <row r="810" ht="15.75" customHeight="1" s="44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/>
      <c r="Z810" s="17" t="n"/>
      <c r="AA810" s="17" t="n"/>
      <c r="AB810" s="17" t="n"/>
      <c r="AC810" s="17" t="n"/>
      <c r="AD810" s="17" t="n"/>
      <c r="AE810" s="17" t="n"/>
      <c r="AF810" s="17" t="n"/>
      <c r="AG810" s="17" t="n"/>
      <c r="AH810" s="17" t="n"/>
      <c r="AI810" s="17" t="n"/>
      <c r="AJ810" s="17" t="n"/>
    </row>
    <row r="811" ht="15.75" customHeight="1" s="44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/>
      <c r="Z811" s="17" t="n"/>
      <c r="AA811" s="17" t="n"/>
      <c r="AB811" s="17" t="n"/>
      <c r="AC811" s="17" t="n"/>
      <c r="AD811" s="17" t="n"/>
      <c r="AE811" s="17" t="n"/>
      <c r="AF811" s="17" t="n"/>
      <c r="AG811" s="17" t="n"/>
      <c r="AH811" s="17" t="n"/>
      <c r="AI811" s="17" t="n"/>
      <c r="AJ811" s="17" t="n"/>
    </row>
    <row r="812" ht="15.75" customHeight="1" s="44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/>
      <c r="Z812" s="17" t="n"/>
      <c r="AA812" s="17" t="n"/>
      <c r="AB812" s="17" t="n"/>
      <c r="AC812" s="17" t="n"/>
      <c r="AD812" s="17" t="n"/>
      <c r="AE812" s="17" t="n"/>
      <c r="AF812" s="17" t="n"/>
      <c r="AG812" s="17" t="n"/>
      <c r="AH812" s="17" t="n"/>
      <c r="AI812" s="17" t="n"/>
      <c r="AJ812" s="17" t="n"/>
    </row>
    <row r="813" ht="15.75" customHeight="1" s="44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/>
      <c r="Z813" s="17" t="n"/>
      <c r="AA813" s="17" t="n"/>
      <c r="AB813" s="17" t="n"/>
      <c r="AC813" s="17" t="n"/>
      <c r="AD813" s="17" t="n"/>
      <c r="AE813" s="17" t="n"/>
      <c r="AF813" s="17" t="n"/>
      <c r="AG813" s="17" t="n"/>
      <c r="AH813" s="17" t="n"/>
      <c r="AI813" s="17" t="n"/>
      <c r="AJ813" s="17" t="n"/>
    </row>
    <row r="814" ht="15.75" customHeight="1" s="4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/>
      <c r="Z814" s="17" t="n"/>
      <c r="AA814" s="17" t="n"/>
      <c r="AB814" s="17" t="n"/>
      <c r="AC814" s="17" t="n"/>
      <c r="AD814" s="17" t="n"/>
      <c r="AE814" s="17" t="n"/>
      <c r="AF814" s="17" t="n"/>
      <c r="AG814" s="17" t="n"/>
      <c r="AH814" s="17" t="n"/>
      <c r="AI814" s="17" t="n"/>
      <c r="AJ814" s="17" t="n"/>
    </row>
    <row r="815" ht="15.75" customHeight="1" s="44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/>
      <c r="Z815" s="17" t="n"/>
      <c r="AA815" s="17" t="n"/>
      <c r="AB815" s="17" t="n"/>
      <c r="AC815" s="17" t="n"/>
      <c r="AD815" s="17" t="n"/>
      <c r="AE815" s="17" t="n"/>
      <c r="AF815" s="17" t="n"/>
      <c r="AG815" s="17" t="n"/>
      <c r="AH815" s="17" t="n"/>
      <c r="AI815" s="17" t="n"/>
      <c r="AJ815" s="17" t="n"/>
    </row>
    <row r="816" ht="15.75" customHeight="1" s="44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/>
      <c r="Z816" s="17" t="n"/>
      <c r="AA816" s="17" t="n"/>
      <c r="AB816" s="17" t="n"/>
      <c r="AC816" s="17" t="n"/>
      <c r="AD816" s="17" t="n"/>
      <c r="AE816" s="17" t="n"/>
      <c r="AF816" s="17" t="n"/>
      <c r="AG816" s="17" t="n"/>
      <c r="AH816" s="17" t="n"/>
      <c r="AI816" s="17" t="n"/>
      <c r="AJ816" s="17" t="n"/>
    </row>
    <row r="817" ht="15.75" customHeight="1" s="44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/>
      <c r="Z817" s="17" t="n"/>
      <c r="AA817" s="17" t="n"/>
      <c r="AB817" s="17" t="n"/>
      <c r="AC817" s="17" t="n"/>
      <c r="AD817" s="17" t="n"/>
      <c r="AE817" s="17" t="n"/>
      <c r="AF817" s="17" t="n"/>
      <c r="AG817" s="17" t="n"/>
      <c r="AH817" s="17" t="n"/>
      <c r="AI817" s="17" t="n"/>
      <c r="AJ817" s="17" t="n"/>
    </row>
    <row r="818" ht="15.75" customHeight="1" s="44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/>
      <c r="Z818" s="17" t="n"/>
      <c r="AA818" s="17" t="n"/>
      <c r="AB818" s="17" t="n"/>
      <c r="AC818" s="17" t="n"/>
      <c r="AD818" s="17" t="n"/>
      <c r="AE818" s="17" t="n"/>
      <c r="AF818" s="17" t="n"/>
      <c r="AG818" s="17" t="n"/>
      <c r="AH818" s="17" t="n"/>
      <c r="AI818" s="17" t="n"/>
      <c r="AJ818" s="17" t="n"/>
    </row>
    <row r="819" ht="15.75" customHeight="1" s="44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/>
      <c r="Z819" s="17" t="n"/>
      <c r="AA819" s="17" t="n"/>
      <c r="AB819" s="17" t="n"/>
      <c r="AC819" s="17" t="n"/>
      <c r="AD819" s="17" t="n"/>
      <c r="AE819" s="17" t="n"/>
      <c r="AF819" s="17" t="n"/>
      <c r="AG819" s="17" t="n"/>
      <c r="AH819" s="17" t="n"/>
      <c r="AI819" s="17" t="n"/>
      <c r="AJ819" s="17" t="n"/>
    </row>
    <row r="820" ht="15.75" customHeight="1" s="44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/>
      <c r="Z820" s="17" t="n"/>
      <c r="AA820" s="17" t="n"/>
      <c r="AB820" s="17" t="n"/>
      <c r="AC820" s="17" t="n"/>
      <c r="AD820" s="17" t="n"/>
      <c r="AE820" s="17" t="n"/>
      <c r="AF820" s="17" t="n"/>
      <c r="AG820" s="17" t="n"/>
      <c r="AH820" s="17" t="n"/>
      <c r="AI820" s="17" t="n"/>
      <c r="AJ820" s="17" t="n"/>
    </row>
    <row r="821" ht="15.75" customHeight="1" s="44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/>
      <c r="Z821" s="17" t="n"/>
      <c r="AA821" s="17" t="n"/>
      <c r="AB821" s="17" t="n"/>
      <c r="AC821" s="17" t="n"/>
      <c r="AD821" s="17" t="n"/>
      <c r="AE821" s="17" t="n"/>
      <c r="AF821" s="17" t="n"/>
      <c r="AG821" s="17" t="n"/>
      <c r="AH821" s="17" t="n"/>
      <c r="AI821" s="17" t="n"/>
      <c r="AJ821" s="17" t="n"/>
    </row>
    <row r="822" ht="15.75" customHeight="1" s="44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/>
      <c r="Z822" s="17" t="n"/>
      <c r="AA822" s="17" t="n"/>
      <c r="AB822" s="17" t="n"/>
      <c r="AC822" s="17" t="n"/>
      <c r="AD822" s="17" t="n"/>
      <c r="AE822" s="17" t="n"/>
      <c r="AF822" s="17" t="n"/>
      <c r="AG822" s="17" t="n"/>
      <c r="AH822" s="17" t="n"/>
      <c r="AI822" s="17" t="n"/>
      <c r="AJ822" s="17" t="n"/>
    </row>
    <row r="823" ht="15.75" customHeight="1" s="44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/>
      <c r="Z823" s="17" t="n"/>
      <c r="AA823" s="17" t="n"/>
      <c r="AB823" s="17" t="n"/>
      <c r="AC823" s="17" t="n"/>
      <c r="AD823" s="17" t="n"/>
      <c r="AE823" s="17" t="n"/>
      <c r="AF823" s="17" t="n"/>
      <c r="AG823" s="17" t="n"/>
      <c r="AH823" s="17" t="n"/>
      <c r="AI823" s="17" t="n"/>
      <c r="AJ823" s="17" t="n"/>
    </row>
    <row r="824" ht="15.75" customHeight="1" s="4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/>
      <c r="Z824" s="17" t="n"/>
      <c r="AA824" s="17" t="n"/>
      <c r="AB824" s="17" t="n"/>
      <c r="AC824" s="17" t="n"/>
      <c r="AD824" s="17" t="n"/>
      <c r="AE824" s="17" t="n"/>
      <c r="AF824" s="17" t="n"/>
      <c r="AG824" s="17" t="n"/>
      <c r="AH824" s="17" t="n"/>
      <c r="AI824" s="17" t="n"/>
      <c r="AJ824" s="17" t="n"/>
    </row>
    <row r="825" ht="15.75" customHeight="1" s="44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/>
      <c r="Z825" s="17" t="n"/>
      <c r="AA825" s="17" t="n"/>
      <c r="AB825" s="17" t="n"/>
      <c r="AC825" s="17" t="n"/>
      <c r="AD825" s="17" t="n"/>
      <c r="AE825" s="17" t="n"/>
      <c r="AF825" s="17" t="n"/>
      <c r="AG825" s="17" t="n"/>
      <c r="AH825" s="17" t="n"/>
      <c r="AI825" s="17" t="n"/>
      <c r="AJ825" s="17" t="n"/>
    </row>
    <row r="826" ht="15.75" customHeight="1" s="44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/>
      <c r="Z826" s="17" t="n"/>
      <c r="AA826" s="17" t="n"/>
      <c r="AB826" s="17" t="n"/>
      <c r="AC826" s="17" t="n"/>
      <c r="AD826" s="17" t="n"/>
      <c r="AE826" s="17" t="n"/>
      <c r="AF826" s="17" t="n"/>
      <c r="AG826" s="17" t="n"/>
      <c r="AH826" s="17" t="n"/>
      <c r="AI826" s="17" t="n"/>
      <c r="AJ826" s="17" t="n"/>
    </row>
    <row r="827" ht="15.75" customHeight="1" s="44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/>
      <c r="Z827" s="17" t="n"/>
      <c r="AA827" s="17" t="n"/>
      <c r="AB827" s="17" t="n"/>
      <c r="AC827" s="17" t="n"/>
      <c r="AD827" s="17" t="n"/>
      <c r="AE827" s="17" t="n"/>
      <c r="AF827" s="17" t="n"/>
      <c r="AG827" s="17" t="n"/>
      <c r="AH827" s="17" t="n"/>
      <c r="AI827" s="17" t="n"/>
      <c r="AJ827" s="17" t="n"/>
    </row>
    <row r="828" ht="15.75" customHeight="1" s="44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/>
      <c r="Z828" s="17" t="n"/>
      <c r="AA828" s="17" t="n"/>
      <c r="AB828" s="17" t="n"/>
      <c r="AC828" s="17" t="n"/>
      <c r="AD828" s="17" t="n"/>
      <c r="AE828" s="17" t="n"/>
      <c r="AF828" s="17" t="n"/>
      <c r="AG828" s="17" t="n"/>
      <c r="AH828" s="17" t="n"/>
      <c r="AI828" s="17" t="n"/>
      <c r="AJ828" s="17" t="n"/>
    </row>
    <row r="829" ht="15.75" customHeight="1" s="44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/>
      <c r="Z829" s="17" t="n"/>
      <c r="AA829" s="17" t="n"/>
      <c r="AB829" s="17" t="n"/>
      <c r="AC829" s="17" t="n"/>
      <c r="AD829" s="17" t="n"/>
      <c r="AE829" s="17" t="n"/>
      <c r="AF829" s="17" t="n"/>
      <c r="AG829" s="17" t="n"/>
      <c r="AH829" s="17" t="n"/>
      <c r="AI829" s="17" t="n"/>
      <c r="AJ829" s="17" t="n"/>
    </row>
    <row r="830" ht="15.75" customHeight="1" s="44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/>
      <c r="Z830" s="17" t="n"/>
      <c r="AA830" s="17" t="n"/>
      <c r="AB830" s="17" t="n"/>
      <c r="AC830" s="17" t="n"/>
      <c r="AD830" s="17" t="n"/>
      <c r="AE830" s="17" t="n"/>
      <c r="AF830" s="17" t="n"/>
      <c r="AG830" s="17" t="n"/>
      <c r="AH830" s="17" t="n"/>
      <c r="AI830" s="17" t="n"/>
      <c r="AJ830" s="17" t="n"/>
    </row>
    <row r="831" ht="15.75" customHeight="1" s="44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/>
      <c r="Z831" s="17" t="n"/>
      <c r="AA831" s="17" t="n"/>
      <c r="AB831" s="17" t="n"/>
      <c r="AC831" s="17" t="n"/>
      <c r="AD831" s="17" t="n"/>
      <c r="AE831" s="17" t="n"/>
      <c r="AF831" s="17" t="n"/>
      <c r="AG831" s="17" t="n"/>
      <c r="AH831" s="17" t="n"/>
      <c r="AI831" s="17" t="n"/>
      <c r="AJ831" s="17" t="n"/>
    </row>
    <row r="832" ht="15.75" customHeight="1" s="44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/>
      <c r="Z832" s="17" t="n"/>
      <c r="AA832" s="17" t="n"/>
      <c r="AB832" s="17" t="n"/>
      <c r="AC832" s="17" t="n"/>
      <c r="AD832" s="17" t="n"/>
      <c r="AE832" s="17" t="n"/>
      <c r="AF832" s="17" t="n"/>
      <c r="AG832" s="17" t="n"/>
      <c r="AH832" s="17" t="n"/>
      <c r="AI832" s="17" t="n"/>
      <c r="AJ832" s="17" t="n"/>
    </row>
    <row r="833" ht="15.75" customHeight="1" s="44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/>
      <c r="Z833" s="17" t="n"/>
      <c r="AA833" s="17" t="n"/>
      <c r="AB833" s="17" t="n"/>
      <c r="AC833" s="17" t="n"/>
      <c r="AD833" s="17" t="n"/>
      <c r="AE833" s="17" t="n"/>
      <c r="AF833" s="17" t="n"/>
      <c r="AG833" s="17" t="n"/>
      <c r="AH833" s="17" t="n"/>
      <c r="AI833" s="17" t="n"/>
      <c r="AJ833" s="17" t="n"/>
    </row>
    <row r="834" ht="15.75" customHeight="1" s="4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/>
      <c r="Z834" s="17" t="n"/>
      <c r="AA834" s="17" t="n"/>
      <c r="AB834" s="17" t="n"/>
      <c r="AC834" s="17" t="n"/>
      <c r="AD834" s="17" t="n"/>
      <c r="AE834" s="17" t="n"/>
      <c r="AF834" s="17" t="n"/>
      <c r="AG834" s="17" t="n"/>
      <c r="AH834" s="17" t="n"/>
      <c r="AI834" s="17" t="n"/>
      <c r="AJ834" s="17" t="n"/>
    </row>
    <row r="835" ht="15.75" customHeight="1" s="44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/>
      <c r="Z835" s="17" t="n"/>
      <c r="AA835" s="17" t="n"/>
      <c r="AB835" s="17" t="n"/>
      <c r="AC835" s="17" t="n"/>
      <c r="AD835" s="17" t="n"/>
      <c r="AE835" s="17" t="n"/>
      <c r="AF835" s="17" t="n"/>
      <c r="AG835" s="17" t="n"/>
      <c r="AH835" s="17" t="n"/>
      <c r="AI835" s="17" t="n"/>
      <c r="AJ835" s="17" t="n"/>
    </row>
    <row r="836" ht="15.75" customHeight="1" s="44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/>
      <c r="Z836" s="17" t="n"/>
      <c r="AA836" s="17" t="n"/>
      <c r="AB836" s="17" t="n"/>
      <c r="AC836" s="17" t="n"/>
      <c r="AD836" s="17" t="n"/>
      <c r="AE836" s="17" t="n"/>
      <c r="AF836" s="17" t="n"/>
      <c r="AG836" s="17" t="n"/>
      <c r="AH836" s="17" t="n"/>
      <c r="AI836" s="17" t="n"/>
      <c r="AJ836" s="17" t="n"/>
    </row>
    <row r="837" ht="15.75" customHeight="1" s="44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/>
      <c r="Z837" s="17" t="n"/>
      <c r="AA837" s="17" t="n"/>
      <c r="AB837" s="17" t="n"/>
      <c r="AC837" s="17" t="n"/>
      <c r="AD837" s="17" t="n"/>
      <c r="AE837" s="17" t="n"/>
      <c r="AF837" s="17" t="n"/>
      <c r="AG837" s="17" t="n"/>
      <c r="AH837" s="17" t="n"/>
      <c r="AI837" s="17" t="n"/>
      <c r="AJ837" s="17" t="n"/>
    </row>
    <row r="838" ht="15.75" customHeight="1" s="44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/>
      <c r="Z838" s="17" t="n"/>
      <c r="AA838" s="17" t="n"/>
      <c r="AB838" s="17" t="n"/>
      <c r="AC838" s="17" t="n"/>
      <c r="AD838" s="17" t="n"/>
      <c r="AE838" s="17" t="n"/>
      <c r="AF838" s="17" t="n"/>
      <c r="AG838" s="17" t="n"/>
      <c r="AH838" s="17" t="n"/>
      <c r="AI838" s="17" t="n"/>
      <c r="AJ838" s="17" t="n"/>
    </row>
    <row r="839" ht="15.75" customHeight="1" s="44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/>
      <c r="Z839" s="17" t="n"/>
      <c r="AA839" s="17" t="n"/>
      <c r="AB839" s="17" t="n"/>
      <c r="AC839" s="17" t="n"/>
      <c r="AD839" s="17" t="n"/>
      <c r="AE839" s="17" t="n"/>
      <c r="AF839" s="17" t="n"/>
      <c r="AG839" s="17" t="n"/>
      <c r="AH839" s="17" t="n"/>
      <c r="AI839" s="17" t="n"/>
      <c r="AJ839" s="17" t="n"/>
    </row>
    <row r="840" ht="15.75" customHeight="1" s="44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/>
      <c r="Z840" s="17" t="n"/>
      <c r="AA840" s="17" t="n"/>
      <c r="AB840" s="17" t="n"/>
      <c r="AC840" s="17" t="n"/>
      <c r="AD840" s="17" t="n"/>
      <c r="AE840" s="17" t="n"/>
      <c r="AF840" s="17" t="n"/>
      <c r="AG840" s="17" t="n"/>
      <c r="AH840" s="17" t="n"/>
      <c r="AI840" s="17" t="n"/>
      <c r="AJ840" s="17" t="n"/>
    </row>
    <row r="841" ht="15.75" customHeight="1" s="44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/>
      <c r="Z841" s="17" t="n"/>
      <c r="AA841" s="17" t="n"/>
      <c r="AB841" s="17" t="n"/>
      <c r="AC841" s="17" t="n"/>
      <c r="AD841" s="17" t="n"/>
      <c r="AE841" s="17" t="n"/>
      <c r="AF841" s="17" t="n"/>
      <c r="AG841" s="17" t="n"/>
      <c r="AH841" s="17" t="n"/>
      <c r="AI841" s="17" t="n"/>
      <c r="AJ841" s="17" t="n"/>
    </row>
    <row r="842" ht="15.75" customHeight="1" s="44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/>
      <c r="Z842" s="17" t="n"/>
      <c r="AA842" s="17" t="n"/>
      <c r="AB842" s="17" t="n"/>
      <c r="AC842" s="17" t="n"/>
      <c r="AD842" s="17" t="n"/>
      <c r="AE842" s="17" t="n"/>
      <c r="AF842" s="17" t="n"/>
      <c r="AG842" s="17" t="n"/>
      <c r="AH842" s="17" t="n"/>
      <c r="AI842" s="17" t="n"/>
      <c r="AJ842" s="17" t="n"/>
    </row>
    <row r="843" ht="15.75" customHeight="1" s="44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/>
      <c r="Z843" s="17" t="n"/>
      <c r="AA843" s="17" t="n"/>
      <c r="AB843" s="17" t="n"/>
      <c r="AC843" s="17" t="n"/>
      <c r="AD843" s="17" t="n"/>
      <c r="AE843" s="17" t="n"/>
      <c r="AF843" s="17" t="n"/>
      <c r="AG843" s="17" t="n"/>
      <c r="AH843" s="17" t="n"/>
      <c r="AI843" s="17" t="n"/>
      <c r="AJ843" s="17" t="n"/>
    </row>
    <row r="844" ht="15.75" customHeight="1" s="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/>
      <c r="Z844" s="17" t="n"/>
      <c r="AA844" s="17" t="n"/>
      <c r="AB844" s="17" t="n"/>
      <c r="AC844" s="17" t="n"/>
      <c r="AD844" s="17" t="n"/>
      <c r="AE844" s="17" t="n"/>
      <c r="AF844" s="17" t="n"/>
      <c r="AG844" s="17" t="n"/>
      <c r="AH844" s="17" t="n"/>
      <c r="AI844" s="17" t="n"/>
      <c r="AJ844" s="17" t="n"/>
    </row>
    <row r="845" ht="15.75" customHeight="1" s="44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/>
      <c r="Z845" s="17" t="n"/>
      <c r="AA845" s="17" t="n"/>
      <c r="AB845" s="17" t="n"/>
      <c r="AC845" s="17" t="n"/>
      <c r="AD845" s="17" t="n"/>
      <c r="AE845" s="17" t="n"/>
      <c r="AF845" s="17" t="n"/>
      <c r="AG845" s="17" t="n"/>
      <c r="AH845" s="17" t="n"/>
      <c r="AI845" s="17" t="n"/>
      <c r="AJ845" s="17" t="n"/>
    </row>
    <row r="846" ht="15.75" customHeight="1" s="44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/>
      <c r="Z846" s="17" t="n"/>
      <c r="AA846" s="17" t="n"/>
      <c r="AB846" s="17" t="n"/>
      <c r="AC846" s="17" t="n"/>
      <c r="AD846" s="17" t="n"/>
      <c r="AE846" s="17" t="n"/>
      <c r="AF846" s="17" t="n"/>
      <c r="AG846" s="17" t="n"/>
      <c r="AH846" s="17" t="n"/>
      <c r="AI846" s="17" t="n"/>
      <c r="AJ846" s="17" t="n"/>
    </row>
    <row r="847" ht="15.75" customHeight="1" s="44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/>
      <c r="Z847" s="17" t="n"/>
      <c r="AA847" s="17" t="n"/>
      <c r="AB847" s="17" t="n"/>
      <c r="AC847" s="17" t="n"/>
      <c r="AD847" s="17" t="n"/>
      <c r="AE847" s="17" t="n"/>
      <c r="AF847" s="17" t="n"/>
      <c r="AG847" s="17" t="n"/>
      <c r="AH847" s="17" t="n"/>
      <c r="AI847" s="17" t="n"/>
      <c r="AJ847" s="17" t="n"/>
    </row>
    <row r="848" ht="15.75" customHeight="1" s="44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/>
      <c r="Z848" s="17" t="n"/>
      <c r="AA848" s="17" t="n"/>
      <c r="AB848" s="17" t="n"/>
      <c r="AC848" s="17" t="n"/>
      <c r="AD848" s="17" t="n"/>
      <c r="AE848" s="17" t="n"/>
      <c r="AF848" s="17" t="n"/>
      <c r="AG848" s="17" t="n"/>
      <c r="AH848" s="17" t="n"/>
      <c r="AI848" s="17" t="n"/>
      <c r="AJ848" s="17" t="n"/>
    </row>
    <row r="849" ht="15.75" customHeight="1" s="44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/>
      <c r="Z849" s="17" t="n"/>
      <c r="AA849" s="17" t="n"/>
      <c r="AB849" s="17" t="n"/>
      <c r="AC849" s="17" t="n"/>
      <c r="AD849" s="17" t="n"/>
      <c r="AE849" s="17" t="n"/>
      <c r="AF849" s="17" t="n"/>
      <c r="AG849" s="17" t="n"/>
      <c r="AH849" s="17" t="n"/>
      <c r="AI849" s="17" t="n"/>
      <c r="AJ849" s="17" t="n"/>
    </row>
    <row r="850" ht="15.75" customHeight="1" s="44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/>
      <c r="Z850" s="17" t="n"/>
      <c r="AA850" s="17" t="n"/>
      <c r="AB850" s="17" t="n"/>
      <c r="AC850" s="17" t="n"/>
      <c r="AD850" s="17" t="n"/>
      <c r="AE850" s="17" t="n"/>
      <c r="AF850" s="17" t="n"/>
      <c r="AG850" s="17" t="n"/>
      <c r="AH850" s="17" t="n"/>
      <c r="AI850" s="17" t="n"/>
      <c r="AJ850" s="17" t="n"/>
    </row>
    <row r="851" ht="15.75" customHeight="1" s="44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/>
      <c r="Z851" s="17" t="n"/>
      <c r="AA851" s="17" t="n"/>
      <c r="AB851" s="17" t="n"/>
      <c r="AC851" s="17" t="n"/>
      <c r="AD851" s="17" t="n"/>
      <c r="AE851" s="17" t="n"/>
      <c r="AF851" s="17" t="n"/>
      <c r="AG851" s="17" t="n"/>
      <c r="AH851" s="17" t="n"/>
      <c r="AI851" s="17" t="n"/>
      <c r="AJ851" s="17" t="n"/>
    </row>
    <row r="852" ht="15.75" customHeight="1" s="44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/>
      <c r="Z852" s="17" t="n"/>
      <c r="AA852" s="17" t="n"/>
      <c r="AB852" s="17" t="n"/>
      <c r="AC852" s="17" t="n"/>
      <c r="AD852" s="17" t="n"/>
      <c r="AE852" s="17" t="n"/>
      <c r="AF852" s="17" t="n"/>
      <c r="AG852" s="17" t="n"/>
      <c r="AH852" s="17" t="n"/>
      <c r="AI852" s="17" t="n"/>
      <c r="AJ852" s="17" t="n"/>
    </row>
    <row r="853" ht="15.75" customHeight="1" s="44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/>
      <c r="Z853" s="17" t="n"/>
      <c r="AA853" s="17" t="n"/>
      <c r="AB853" s="17" t="n"/>
      <c r="AC853" s="17" t="n"/>
      <c r="AD853" s="17" t="n"/>
      <c r="AE853" s="17" t="n"/>
      <c r="AF853" s="17" t="n"/>
      <c r="AG853" s="17" t="n"/>
      <c r="AH853" s="17" t="n"/>
      <c r="AI853" s="17" t="n"/>
      <c r="AJ853" s="17" t="n"/>
    </row>
    <row r="854" ht="15.75" customHeight="1" s="4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/>
      <c r="Z854" s="17" t="n"/>
      <c r="AA854" s="17" t="n"/>
      <c r="AB854" s="17" t="n"/>
      <c r="AC854" s="17" t="n"/>
      <c r="AD854" s="17" t="n"/>
      <c r="AE854" s="17" t="n"/>
      <c r="AF854" s="17" t="n"/>
      <c r="AG854" s="17" t="n"/>
      <c r="AH854" s="17" t="n"/>
      <c r="AI854" s="17" t="n"/>
      <c r="AJ854" s="17" t="n"/>
    </row>
    <row r="855" ht="15.75" customHeight="1" s="44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/>
      <c r="Z855" s="17" t="n"/>
      <c r="AA855" s="17" t="n"/>
      <c r="AB855" s="17" t="n"/>
      <c r="AC855" s="17" t="n"/>
      <c r="AD855" s="17" t="n"/>
      <c r="AE855" s="17" t="n"/>
      <c r="AF855" s="17" t="n"/>
      <c r="AG855" s="17" t="n"/>
      <c r="AH855" s="17" t="n"/>
      <c r="AI855" s="17" t="n"/>
      <c r="AJ855" s="17" t="n"/>
    </row>
    <row r="856" ht="15.75" customHeight="1" s="44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/>
      <c r="Z856" s="17" t="n"/>
      <c r="AA856" s="17" t="n"/>
      <c r="AB856" s="17" t="n"/>
      <c r="AC856" s="17" t="n"/>
      <c r="AD856" s="17" t="n"/>
      <c r="AE856" s="17" t="n"/>
      <c r="AF856" s="17" t="n"/>
      <c r="AG856" s="17" t="n"/>
      <c r="AH856" s="17" t="n"/>
      <c r="AI856" s="17" t="n"/>
      <c r="AJ856" s="17" t="n"/>
    </row>
    <row r="857" ht="15.75" customHeight="1" s="44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/>
      <c r="Z857" s="17" t="n"/>
      <c r="AA857" s="17" t="n"/>
      <c r="AB857" s="17" t="n"/>
      <c r="AC857" s="17" t="n"/>
      <c r="AD857" s="17" t="n"/>
      <c r="AE857" s="17" t="n"/>
      <c r="AF857" s="17" t="n"/>
      <c r="AG857" s="17" t="n"/>
      <c r="AH857" s="17" t="n"/>
      <c r="AI857" s="17" t="n"/>
      <c r="AJ857" s="17" t="n"/>
    </row>
    <row r="858" ht="15.75" customHeight="1" s="44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/>
      <c r="Z858" s="17" t="n"/>
      <c r="AA858" s="17" t="n"/>
      <c r="AB858" s="17" t="n"/>
      <c r="AC858" s="17" t="n"/>
      <c r="AD858" s="17" t="n"/>
      <c r="AE858" s="17" t="n"/>
      <c r="AF858" s="17" t="n"/>
      <c r="AG858" s="17" t="n"/>
      <c r="AH858" s="17" t="n"/>
      <c r="AI858" s="17" t="n"/>
      <c r="AJ858" s="17" t="n"/>
    </row>
    <row r="859" ht="15.75" customHeight="1" s="44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/>
      <c r="Z859" s="17" t="n"/>
      <c r="AA859" s="17" t="n"/>
      <c r="AB859" s="17" t="n"/>
      <c r="AC859" s="17" t="n"/>
      <c r="AD859" s="17" t="n"/>
      <c r="AE859" s="17" t="n"/>
      <c r="AF859" s="17" t="n"/>
      <c r="AG859" s="17" t="n"/>
      <c r="AH859" s="17" t="n"/>
      <c r="AI859" s="17" t="n"/>
      <c r="AJ859" s="17" t="n"/>
    </row>
    <row r="860" ht="15.75" customHeight="1" s="44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/>
      <c r="Z860" s="17" t="n"/>
      <c r="AA860" s="17" t="n"/>
      <c r="AB860" s="17" t="n"/>
      <c r="AC860" s="17" t="n"/>
      <c r="AD860" s="17" t="n"/>
      <c r="AE860" s="17" t="n"/>
      <c r="AF860" s="17" t="n"/>
      <c r="AG860" s="17" t="n"/>
      <c r="AH860" s="17" t="n"/>
      <c r="AI860" s="17" t="n"/>
      <c r="AJ860" s="17" t="n"/>
    </row>
    <row r="861" ht="15.75" customHeight="1" s="44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/>
      <c r="Z861" s="17" t="n"/>
      <c r="AA861" s="17" t="n"/>
      <c r="AB861" s="17" t="n"/>
      <c r="AC861" s="17" t="n"/>
      <c r="AD861" s="17" t="n"/>
      <c r="AE861" s="17" t="n"/>
      <c r="AF861" s="17" t="n"/>
      <c r="AG861" s="17" t="n"/>
      <c r="AH861" s="17" t="n"/>
      <c r="AI861" s="17" t="n"/>
      <c r="AJ861" s="17" t="n"/>
    </row>
    <row r="862" ht="15.75" customHeight="1" s="44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/>
      <c r="Z862" s="17" t="n"/>
      <c r="AA862" s="17" t="n"/>
      <c r="AB862" s="17" t="n"/>
      <c r="AC862" s="17" t="n"/>
      <c r="AD862" s="17" t="n"/>
      <c r="AE862" s="17" t="n"/>
      <c r="AF862" s="17" t="n"/>
      <c r="AG862" s="17" t="n"/>
      <c r="AH862" s="17" t="n"/>
      <c r="AI862" s="17" t="n"/>
      <c r="AJ862" s="17" t="n"/>
    </row>
    <row r="863" ht="15.75" customHeight="1" s="44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/>
      <c r="Z863" s="17" t="n"/>
      <c r="AA863" s="17" t="n"/>
      <c r="AB863" s="17" t="n"/>
      <c r="AC863" s="17" t="n"/>
      <c r="AD863" s="17" t="n"/>
      <c r="AE863" s="17" t="n"/>
      <c r="AF863" s="17" t="n"/>
      <c r="AG863" s="17" t="n"/>
      <c r="AH863" s="17" t="n"/>
      <c r="AI863" s="17" t="n"/>
      <c r="AJ863" s="17" t="n"/>
    </row>
    <row r="864" ht="15.75" customHeight="1" s="4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/>
      <c r="Z864" s="17" t="n"/>
      <c r="AA864" s="17" t="n"/>
      <c r="AB864" s="17" t="n"/>
      <c r="AC864" s="17" t="n"/>
      <c r="AD864" s="17" t="n"/>
      <c r="AE864" s="17" t="n"/>
      <c r="AF864" s="17" t="n"/>
      <c r="AG864" s="17" t="n"/>
      <c r="AH864" s="17" t="n"/>
      <c r="AI864" s="17" t="n"/>
      <c r="AJ864" s="17" t="n"/>
    </row>
    <row r="865" ht="15.75" customHeight="1" s="44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/>
      <c r="Z865" s="17" t="n"/>
      <c r="AA865" s="17" t="n"/>
      <c r="AB865" s="17" t="n"/>
      <c r="AC865" s="17" t="n"/>
      <c r="AD865" s="17" t="n"/>
      <c r="AE865" s="17" t="n"/>
      <c r="AF865" s="17" t="n"/>
      <c r="AG865" s="17" t="n"/>
      <c r="AH865" s="17" t="n"/>
      <c r="AI865" s="17" t="n"/>
      <c r="AJ865" s="17" t="n"/>
    </row>
    <row r="866" ht="15.75" customHeight="1" s="44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/>
      <c r="Z866" s="17" t="n"/>
      <c r="AA866" s="17" t="n"/>
      <c r="AB866" s="17" t="n"/>
      <c r="AC866" s="17" t="n"/>
      <c r="AD866" s="17" t="n"/>
      <c r="AE866" s="17" t="n"/>
      <c r="AF866" s="17" t="n"/>
      <c r="AG866" s="17" t="n"/>
      <c r="AH866" s="17" t="n"/>
      <c r="AI866" s="17" t="n"/>
      <c r="AJ866" s="17" t="n"/>
    </row>
    <row r="867" ht="15.75" customHeight="1" s="44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/>
      <c r="Z867" s="17" t="n"/>
      <c r="AA867" s="17" t="n"/>
      <c r="AB867" s="17" t="n"/>
      <c r="AC867" s="17" t="n"/>
      <c r="AD867" s="17" t="n"/>
      <c r="AE867" s="17" t="n"/>
      <c r="AF867" s="17" t="n"/>
      <c r="AG867" s="17" t="n"/>
      <c r="AH867" s="17" t="n"/>
      <c r="AI867" s="17" t="n"/>
      <c r="AJ867" s="17" t="n"/>
    </row>
    <row r="868" ht="15.75" customHeight="1" s="44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/>
      <c r="Z868" s="17" t="n"/>
      <c r="AA868" s="17" t="n"/>
      <c r="AB868" s="17" t="n"/>
      <c r="AC868" s="17" t="n"/>
      <c r="AD868" s="17" t="n"/>
      <c r="AE868" s="17" t="n"/>
      <c r="AF868" s="17" t="n"/>
      <c r="AG868" s="17" t="n"/>
      <c r="AH868" s="17" t="n"/>
      <c r="AI868" s="17" t="n"/>
      <c r="AJ868" s="17" t="n"/>
    </row>
    <row r="869" ht="15.75" customHeight="1" s="44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/>
      <c r="Z869" s="17" t="n"/>
      <c r="AA869" s="17" t="n"/>
      <c r="AB869" s="17" t="n"/>
      <c r="AC869" s="17" t="n"/>
      <c r="AD869" s="17" t="n"/>
      <c r="AE869" s="17" t="n"/>
      <c r="AF869" s="17" t="n"/>
      <c r="AG869" s="17" t="n"/>
      <c r="AH869" s="17" t="n"/>
      <c r="AI869" s="17" t="n"/>
      <c r="AJ869" s="17" t="n"/>
    </row>
    <row r="870" ht="15.75" customHeight="1" s="44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/>
      <c r="Z870" s="17" t="n"/>
      <c r="AA870" s="17" t="n"/>
      <c r="AB870" s="17" t="n"/>
      <c r="AC870" s="17" t="n"/>
      <c r="AD870" s="17" t="n"/>
      <c r="AE870" s="17" t="n"/>
      <c r="AF870" s="17" t="n"/>
      <c r="AG870" s="17" t="n"/>
      <c r="AH870" s="17" t="n"/>
      <c r="AI870" s="17" t="n"/>
      <c r="AJ870" s="17" t="n"/>
    </row>
    <row r="871" ht="15.75" customHeight="1" s="44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/>
      <c r="Z871" s="17" t="n"/>
      <c r="AA871" s="17" t="n"/>
      <c r="AB871" s="17" t="n"/>
      <c r="AC871" s="17" t="n"/>
      <c r="AD871" s="17" t="n"/>
      <c r="AE871" s="17" t="n"/>
      <c r="AF871" s="17" t="n"/>
      <c r="AG871" s="17" t="n"/>
      <c r="AH871" s="17" t="n"/>
      <c r="AI871" s="17" t="n"/>
      <c r="AJ871" s="17" t="n"/>
    </row>
    <row r="872" ht="15.75" customHeight="1" s="44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/>
      <c r="Z872" s="17" t="n"/>
      <c r="AA872" s="17" t="n"/>
      <c r="AB872" s="17" t="n"/>
      <c r="AC872" s="17" t="n"/>
      <c r="AD872" s="17" t="n"/>
      <c r="AE872" s="17" t="n"/>
      <c r="AF872" s="17" t="n"/>
      <c r="AG872" s="17" t="n"/>
      <c r="AH872" s="17" t="n"/>
      <c r="AI872" s="17" t="n"/>
      <c r="AJ872" s="17" t="n"/>
    </row>
    <row r="873" ht="15.75" customHeight="1" s="44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/>
      <c r="Z873" s="17" t="n"/>
      <c r="AA873" s="17" t="n"/>
      <c r="AB873" s="17" t="n"/>
      <c r="AC873" s="17" t="n"/>
      <c r="AD873" s="17" t="n"/>
      <c r="AE873" s="17" t="n"/>
      <c r="AF873" s="17" t="n"/>
      <c r="AG873" s="17" t="n"/>
      <c r="AH873" s="17" t="n"/>
      <c r="AI873" s="17" t="n"/>
      <c r="AJ873" s="17" t="n"/>
    </row>
    <row r="874" ht="15.75" customHeight="1" s="4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/>
      <c r="Z874" s="17" t="n"/>
      <c r="AA874" s="17" t="n"/>
      <c r="AB874" s="17" t="n"/>
      <c r="AC874" s="17" t="n"/>
      <c r="AD874" s="17" t="n"/>
      <c r="AE874" s="17" t="n"/>
      <c r="AF874" s="17" t="n"/>
      <c r="AG874" s="17" t="n"/>
      <c r="AH874" s="17" t="n"/>
      <c r="AI874" s="17" t="n"/>
      <c r="AJ874" s="17" t="n"/>
    </row>
    <row r="875" ht="15.75" customHeight="1" s="44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/>
      <c r="Z875" s="17" t="n"/>
      <c r="AA875" s="17" t="n"/>
      <c r="AB875" s="17" t="n"/>
      <c r="AC875" s="17" t="n"/>
      <c r="AD875" s="17" t="n"/>
      <c r="AE875" s="17" t="n"/>
      <c r="AF875" s="17" t="n"/>
      <c r="AG875" s="17" t="n"/>
      <c r="AH875" s="17" t="n"/>
      <c r="AI875" s="17" t="n"/>
      <c r="AJ875" s="17" t="n"/>
    </row>
    <row r="876" ht="15.75" customHeight="1" s="44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/>
      <c r="Z876" s="17" t="n"/>
      <c r="AA876" s="17" t="n"/>
      <c r="AB876" s="17" t="n"/>
      <c r="AC876" s="17" t="n"/>
      <c r="AD876" s="17" t="n"/>
      <c r="AE876" s="17" t="n"/>
      <c r="AF876" s="17" t="n"/>
      <c r="AG876" s="17" t="n"/>
      <c r="AH876" s="17" t="n"/>
      <c r="AI876" s="17" t="n"/>
      <c r="AJ876" s="17" t="n"/>
    </row>
    <row r="877" ht="15.75" customHeight="1" s="44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/>
      <c r="Z877" s="17" t="n"/>
      <c r="AA877" s="17" t="n"/>
      <c r="AB877" s="17" t="n"/>
      <c r="AC877" s="17" t="n"/>
      <c r="AD877" s="17" t="n"/>
      <c r="AE877" s="17" t="n"/>
      <c r="AF877" s="17" t="n"/>
      <c r="AG877" s="17" t="n"/>
      <c r="AH877" s="17" t="n"/>
      <c r="AI877" s="17" t="n"/>
      <c r="AJ877" s="17" t="n"/>
    </row>
    <row r="878" ht="15.75" customHeight="1" s="44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/>
      <c r="Z878" s="17" t="n"/>
      <c r="AA878" s="17" t="n"/>
      <c r="AB878" s="17" t="n"/>
      <c r="AC878" s="17" t="n"/>
      <c r="AD878" s="17" t="n"/>
      <c r="AE878" s="17" t="n"/>
      <c r="AF878" s="17" t="n"/>
      <c r="AG878" s="17" t="n"/>
      <c r="AH878" s="17" t="n"/>
      <c r="AI878" s="17" t="n"/>
      <c r="AJ878" s="17" t="n"/>
    </row>
    <row r="879" ht="15.75" customHeight="1" s="44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/>
      <c r="Z879" s="17" t="n"/>
      <c r="AA879" s="17" t="n"/>
      <c r="AB879" s="17" t="n"/>
      <c r="AC879" s="17" t="n"/>
      <c r="AD879" s="17" t="n"/>
      <c r="AE879" s="17" t="n"/>
      <c r="AF879" s="17" t="n"/>
      <c r="AG879" s="17" t="n"/>
      <c r="AH879" s="17" t="n"/>
      <c r="AI879" s="17" t="n"/>
      <c r="AJ879" s="17" t="n"/>
    </row>
    <row r="880" ht="15.75" customHeight="1" s="44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/>
      <c r="Z880" s="17" t="n"/>
      <c r="AA880" s="17" t="n"/>
      <c r="AB880" s="17" t="n"/>
      <c r="AC880" s="17" t="n"/>
      <c r="AD880" s="17" t="n"/>
      <c r="AE880" s="17" t="n"/>
      <c r="AF880" s="17" t="n"/>
      <c r="AG880" s="17" t="n"/>
      <c r="AH880" s="17" t="n"/>
      <c r="AI880" s="17" t="n"/>
      <c r="AJ880" s="17" t="n"/>
    </row>
    <row r="881" ht="15.75" customHeight="1" s="44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/>
      <c r="Z881" s="17" t="n"/>
      <c r="AA881" s="17" t="n"/>
      <c r="AB881" s="17" t="n"/>
      <c r="AC881" s="17" t="n"/>
      <c r="AD881" s="17" t="n"/>
      <c r="AE881" s="17" t="n"/>
      <c r="AF881" s="17" t="n"/>
      <c r="AG881" s="17" t="n"/>
      <c r="AH881" s="17" t="n"/>
      <c r="AI881" s="17" t="n"/>
      <c r="AJ881" s="17" t="n"/>
    </row>
    <row r="882" ht="15.75" customHeight="1" s="44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/>
      <c r="Z882" s="17" t="n"/>
      <c r="AA882" s="17" t="n"/>
      <c r="AB882" s="17" t="n"/>
      <c r="AC882" s="17" t="n"/>
      <c r="AD882" s="17" t="n"/>
      <c r="AE882" s="17" t="n"/>
      <c r="AF882" s="17" t="n"/>
      <c r="AG882" s="17" t="n"/>
      <c r="AH882" s="17" t="n"/>
      <c r="AI882" s="17" t="n"/>
      <c r="AJ882" s="17" t="n"/>
    </row>
    <row r="883" ht="15.75" customHeight="1" s="44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/>
      <c r="Z883" s="17" t="n"/>
      <c r="AA883" s="17" t="n"/>
      <c r="AB883" s="17" t="n"/>
      <c r="AC883" s="17" t="n"/>
      <c r="AD883" s="17" t="n"/>
      <c r="AE883" s="17" t="n"/>
      <c r="AF883" s="17" t="n"/>
      <c r="AG883" s="17" t="n"/>
      <c r="AH883" s="17" t="n"/>
      <c r="AI883" s="17" t="n"/>
      <c r="AJ883" s="17" t="n"/>
    </row>
    <row r="884" ht="15.75" customHeight="1" s="4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/>
      <c r="Z884" s="17" t="n"/>
      <c r="AA884" s="17" t="n"/>
      <c r="AB884" s="17" t="n"/>
      <c r="AC884" s="17" t="n"/>
      <c r="AD884" s="17" t="n"/>
      <c r="AE884" s="17" t="n"/>
      <c r="AF884" s="17" t="n"/>
      <c r="AG884" s="17" t="n"/>
      <c r="AH884" s="17" t="n"/>
      <c r="AI884" s="17" t="n"/>
      <c r="AJ884" s="17" t="n"/>
    </row>
    <row r="885" ht="15.75" customHeight="1" s="44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/>
      <c r="Z885" s="17" t="n"/>
      <c r="AA885" s="17" t="n"/>
      <c r="AB885" s="17" t="n"/>
      <c r="AC885" s="17" t="n"/>
      <c r="AD885" s="17" t="n"/>
      <c r="AE885" s="17" t="n"/>
      <c r="AF885" s="17" t="n"/>
      <c r="AG885" s="17" t="n"/>
      <c r="AH885" s="17" t="n"/>
      <c r="AI885" s="17" t="n"/>
      <c r="AJ885" s="17" t="n"/>
    </row>
    <row r="886" ht="15.75" customHeight="1" s="44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/>
      <c r="Z886" s="17" t="n"/>
      <c r="AA886" s="17" t="n"/>
      <c r="AB886" s="17" t="n"/>
      <c r="AC886" s="17" t="n"/>
      <c r="AD886" s="17" t="n"/>
      <c r="AE886" s="17" t="n"/>
      <c r="AF886" s="17" t="n"/>
      <c r="AG886" s="17" t="n"/>
      <c r="AH886" s="17" t="n"/>
      <c r="AI886" s="17" t="n"/>
      <c r="AJ886" s="17" t="n"/>
    </row>
    <row r="887" ht="15.75" customHeight="1" s="44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/>
      <c r="Z887" s="17" t="n"/>
      <c r="AA887" s="17" t="n"/>
      <c r="AB887" s="17" t="n"/>
      <c r="AC887" s="17" t="n"/>
      <c r="AD887" s="17" t="n"/>
      <c r="AE887" s="17" t="n"/>
      <c r="AF887" s="17" t="n"/>
      <c r="AG887" s="17" t="n"/>
      <c r="AH887" s="17" t="n"/>
      <c r="AI887" s="17" t="n"/>
      <c r="AJ887" s="17" t="n"/>
    </row>
    <row r="888" ht="15.75" customHeight="1" s="44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/>
      <c r="Z888" s="17" t="n"/>
      <c r="AA888" s="17" t="n"/>
      <c r="AB888" s="17" t="n"/>
      <c r="AC888" s="17" t="n"/>
      <c r="AD888" s="17" t="n"/>
      <c r="AE888" s="17" t="n"/>
      <c r="AF888" s="17" t="n"/>
      <c r="AG888" s="17" t="n"/>
      <c r="AH888" s="17" t="n"/>
      <c r="AI888" s="17" t="n"/>
      <c r="AJ888" s="17" t="n"/>
    </row>
    <row r="889" ht="15.75" customHeight="1" s="44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/>
      <c r="Z889" s="17" t="n"/>
      <c r="AA889" s="17" t="n"/>
      <c r="AB889" s="17" t="n"/>
      <c r="AC889" s="17" t="n"/>
      <c r="AD889" s="17" t="n"/>
      <c r="AE889" s="17" t="n"/>
      <c r="AF889" s="17" t="n"/>
      <c r="AG889" s="17" t="n"/>
      <c r="AH889" s="17" t="n"/>
      <c r="AI889" s="17" t="n"/>
      <c r="AJ889" s="17" t="n"/>
    </row>
    <row r="890" ht="15.75" customHeight="1" s="44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/>
      <c r="Z890" s="17" t="n"/>
      <c r="AA890" s="17" t="n"/>
      <c r="AB890" s="17" t="n"/>
      <c r="AC890" s="17" t="n"/>
      <c r="AD890" s="17" t="n"/>
      <c r="AE890" s="17" t="n"/>
      <c r="AF890" s="17" t="n"/>
      <c r="AG890" s="17" t="n"/>
      <c r="AH890" s="17" t="n"/>
      <c r="AI890" s="17" t="n"/>
      <c r="AJ890" s="17" t="n"/>
    </row>
    <row r="891" ht="15.75" customHeight="1" s="44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/>
      <c r="Z891" s="17" t="n"/>
      <c r="AA891" s="17" t="n"/>
      <c r="AB891" s="17" t="n"/>
      <c r="AC891" s="17" t="n"/>
      <c r="AD891" s="17" t="n"/>
      <c r="AE891" s="17" t="n"/>
      <c r="AF891" s="17" t="n"/>
      <c r="AG891" s="17" t="n"/>
      <c r="AH891" s="17" t="n"/>
      <c r="AI891" s="17" t="n"/>
      <c r="AJ891" s="17" t="n"/>
    </row>
    <row r="892" ht="15.75" customHeight="1" s="44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/>
      <c r="Z892" s="17" t="n"/>
      <c r="AA892" s="17" t="n"/>
      <c r="AB892" s="17" t="n"/>
      <c r="AC892" s="17" t="n"/>
      <c r="AD892" s="17" t="n"/>
      <c r="AE892" s="17" t="n"/>
      <c r="AF892" s="17" t="n"/>
      <c r="AG892" s="17" t="n"/>
      <c r="AH892" s="17" t="n"/>
      <c r="AI892" s="17" t="n"/>
      <c r="AJ892" s="17" t="n"/>
    </row>
    <row r="893" ht="15.75" customHeight="1" s="44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/>
      <c r="Z893" s="17" t="n"/>
      <c r="AA893" s="17" t="n"/>
      <c r="AB893" s="17" t="n"/>
      <c r="AC893" s="17" t="n"/>
      <c r="AD893" s="17" t="n"/>
      <c r="AE893" s="17" t="n"/>
      <c r="AF893" s="17" t="n"/>
      <c r="AG893" s="17" t="n"/>
      <c r="AH893" s="17" t="n"/>
      <c r="AI893" s="17" t="n"/>
      <c r="AJ893" s="17" t="n"/>
    </row>
    <row r="894" ht="15.75" customHeight="1" s="4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/>
      <c r="Z894" s="17" t="n"/>
      <c r="AA894" s="17" t="n"/>
      <c r="AB894" s="17" t="n"/>
      <c r="AC894" s="17" t="n"/>
      <c r="AD894" s="17" t="n"/>
      <c r="AE894" s="17" t="n"/>
      <c r="AF894" s="17" t="n"/>
      <c r="AG894" s="17" t="n"/>
      <c r="AH894" s="17" t="n"/>
      <c r="AI894" s="17" t="n"/>
      <c r="AJ894" s="17" t="n"/>
    </row>
    <row r="895" ht="15.75" customHeight="1" s="44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/>
      <c r="Z895" s="17" t="n"/>
      <c r="AA895" s="17" t="n"/>
      <c r="AB895" s="17" t="n"/>
      <c r="AC895" s="17" t="n"/>
      <c r="AD895" s="17" t="n"/>
      <c r="AE895" s="17" t="n"/>
      <c r="AF895" s="17" t="n"/>
      <c r="AG895" s="17" t="n"/>
      <c r="AH895" s="17" t="n"/>
      <c r="AI895" s="17" t="n"/>
      <c r="AJ895" s="17" t="n"/>
    </row>
    <row r="896" ht="15.75" customHeight="1" s="44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/>
      <c r="Z896" s="17" t="n"/>
      <c r="AA896" s="17" t="n"/>
      <c r="AB896" s="17" t="n"/>
      <c r="AC896" s="17" t="n"/>
      <c r="AD896" s="17" t="n"/>
      <c r="AE896" s="17" t="n"/>
      <c r="AF896" s="17" t="n"/>
      <c r="AG896" s="17" t="n"/>
      <c r="AH896" s="17" t="n"/>
      <c r="AI896" s="17" t="n"/>
      <c r="AJ896" s="17" t="n"/>
    </row>
    <row r="897" ht="15.75" customHeight="1" s="44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/>
      <c r="Z897" s="17" t="n"/>
      <c r="AA897" s="17" t="n"/>
      <c r="AB897" s="17" t="n"/>
      <c r="AC897" s="17" t="n"/>
      <c r="AD897" s="17" t="n"/>
      <c r="AE897" s="17" t="n"/>
      <c r="AF897" s="17" t="n"/>
      <c r="AG897" s="17" t="n"/>
      <c r="AH897" s="17" t="n"/>
      <c r="AI897" s="17" t="n"/>
      <c r="AJ897" s="17" t="n"/>
    </row>
    <row r="898" ht="15.75" customHeight="1" s="44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/>
      <c r="Z898" s="17" t="n"/>
      <c r="AA898" s="17" t="n"/>
      <c r="AB898" s="17" t="n"/>
      <c r="AC898" s="17" t="n"/>
      <c r="AD898" s="17" t="n"/>
      <c r="AE898" s="17" t="n"/>
      <c r="AF898" s="17" t="n"/>
      <c r="AG898" s="17" t="n"/>
      <c r="AH898" s="17" t="n"/>
      <c r="AI898" s="17" t="n"/>
      <c r="AJ898" s="17" t="n"/>
    </row>
    <row r="899" ht="15.75" customHeight="1" s="44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/>
      <c r="Z899" s="17" t="n"/>
      <c r="AA899" s="17" t="n"/>
      <c r="AB899" s="17" t="n"/>
      <c r="AC899" s="17" t="n"/>
      <c r="AD899" s="17" t="n"/>
      <c r="AE899" s="17" t="n"/>
      <c r="AF899" s="17" t="n"/>
      <c r="AG899" s="17" t="n"/>
      <c r="AH899" s="17" t="n"/>
      <c r="AI899" s="17" t="n"/>
      <c r="AJ899" s="17" t="n"/>
    </row>
    <row r="900" ht="15.75" customHeight="1" s="44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/>
      <c r="Z900" s="17" t="n"/>
      <c r="AA900" s="17" t="n"/>
      <c r="AB900" s="17" t="n"/>
      <c r="AC900" s="17" t="n"/>
      <c r="AD900" s="17" t="n"/>
      <c r="AE900" s="17" t="n"/>
      <c r="AF900" s="17" t="n"/>
      <c r="AG900" s="17" t="n"/>
      <c r="AH900" s="17" t="n"/>
      <c r="AI900" s="17" t="n"/>
      <c r="AJ900" s="17" t="n"/>
    </row>
    <row r="901" ht="15.75" customHeight="1" s="44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/>
      <c r="Z901" s="17" t="n"/>
      <c r="AA901" s="17" t="n"/>
      <c r="AB901" s="17" t="n"/>
      <c r="AC901" s="17" t="n"/>
      <c r="AD901" s="17" t="n"/>
      <c r="AE901" s="17" t="n"/>
      <c r="AF901" s="17" t="n"/>
      <c r="AG901" s="17" t="n"/>
      <c r="AH901" s="17" t="n"/>
      <c r="AI901" s="17" t="n"/>
      <c r="AJ901" s="17" t="n"/>
    </row>
    <row r="902" ht="15.75" customHeight="1" s="44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/>
      <c r="Z902" s="17" t="n"/>
      <c r="AA902" s="17" t="n"/>
      <c r="AB902" s="17" t="n"/>
      <c r="AC902" s="17" t="n"/>
      <c r="AD902" s="17" t="n"/>
      <c r="AE902" s="17" t="n"/>
      <c r="AF902" s="17" t="n"/>
      <c r="AG902" s="17" t="n"/>
      <c r="AH902" s="17" t="n"/>
      <c r="AI902" s="17" t="n"/>
      <c r="AJ902" s="17" t="n"/>
    </row>
    <row r="903" ht="15.75" customHeight="1" s="44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/>
      <c r="Z903" s="17" t="n"/>
      <c r="AA903" s="17" t="n"/>
      <c r="AB903" s="17" t="n"/>
      <c r="AC903" s="17" t="n"/>
      <c r="AD903" s="17" t="n"/>
      <c r="AE903" s="17" t="n"/>
      <c r="AF903" s="17" t="n"/>
      <c r="AG903" s="17" t="n"/>
      <c r="AH903" s="17" t="n"/>
      <c r="AI903" s="17" t="n"/>
      <c r="AJ903" s="17" t="n"/>
    </row>
    <row r="904" ht="15.75" customHeight="1" s="4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/>
      <c r="Z904" s="17" t="n"/>
      <c r="AA904" s="17" t="n"/>
      <c r="AB904" s="17" t="n"/>
      <c r="AC904" s="17" t="n"/>
      <c r="AD904" s="17" t="n"/>
      <c r="AE904" s="17" t="n"/>
      <c r="AF904" s="17" t="n"/>
      <c r="AG904" s="17" t="n"/>
      <c r="AH904" s="17" t="n"/>
      <c r="AI904" s="17" t="n"/>
      <c r="AJ904" s="17" t="n"/>
    </row>
    <row r="905" ht="15.75" customHeight="1" s="44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/>
      <c r="Z905" s="17" t="n"/>
      <c r="AA905" s="17" t="n"/>
      <c r="AB905" s="17" t="n"/>
      <c r="AC905" s="17" t="n"/>
      <c r="AD905" s="17" t="n"/>
      <c r="AE905" s="17" t="n"/>
      <c r="AF905" s="17" t="n"/>
      <c r="AG905" s="17" t="n"/>
      <c r="AH905" s="17" t="n"/>
      <c r="AI905" s="17" t="n"/>
      <c r="AJ905" s="17" t="n"/>
    </row>
    <row r="906" ht="15.75" customHeight="1" s="44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7" t="n"/>
      <c r="Z906" s="17" t="n"/>
      <c r="AA906" s="17" t="n"/>
      <c r="AB906" s="17" t="n"/>
      <c r="AC906" s="17" t="n"/>
      <c r="AD906" s="17" t="n"/>
      <c r="AE906" s="17" t="n"/>
      <c r="AF906" s="17" t="n"/>
      <c r="AG906" s="17" t="n"/>
      <c r="AH906" s="17" t="n"/>
      <c r="AI906" s="17" t="n"/>
      <c r="AJ906" s="17" t="n"/>
    </row>
    <row r="907" ht="15.75" customHeight="1" s="44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/>
      <c r="Z907" s="17" t="n"/>
      <c r="AA907" s="17" t="n"/>
      <c r="AB907" s="17" t="n"/>
      <c r="AC907" s="17" t="n"/>
      <c r="AD907" s="17" t="n"/>
      <c r="AE907" s="17" t="n"/>
      <c r="AF907" s="17" t="n"/>
      <c r="AG907" s="17" t="n"/>
      <c r="AH907" s="17" t="n"/>
      <c r="AI907" s="17" t="n"/>
      <c r="AJ907" s="17" t="n"/>
    </row>
    <row r="908" ht="15.75" customHeight="1" s="44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/>
      <c r="Z908" s="17" t="n"/>
      <c r="AA908" s="17" t="n"/>
      <c r="AB908" s="17" t="n"/>
      <c r="AC908" s="17" t="n"/>
      <c r="AD908" s="17" t="n"/>
      <c r="AE908" s="17" t="n"/>
      <c r="AF908" s="17" t="n"/>
      <c r="AG908" s="17" t="n"/>
      <c r="AH908" s="17" t="n"/>
      <c r="AI908" s="17" t="n"/>
      <c r="AJ908" s="17" t="n"/>
    </row>
    <row r="909" ht="15.75" customHeight="1" s="44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7" t="n"/>
      <c r="Z909" s="17" t="n"/>
      <c r="AA909" s="17" t="n"/>
      <c r="AB909" s="17" t="n"/>
      <c r="AC909" s="17" t="n"/>
      <c r="AD909" s="17" t="n"/>
      <c r="AE909" s="17" t="n"/>
      <c r="AF909" s="17" t="n"/>
      <c r="AG909" s="17" t="n"/>
      <c r="AH909" s="17" t="n"/>
      <c r="AI909" s="17" t="n"/>
      <c r="AJ909" s="17" t="n"/>
    </row>
    <row r="910" ht="15.75" customHeight="1" s="44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/>
      <c r="Z910" s="17" t="n"/>
      <c r="AA910" s="17" t="n"/>
      <c r="AB910" s="17" t="n"/>
      <c r="AC910" s="17" t="n"/>
      <c r="AD910" s="17" t="n"/>
      <c r="AE910" s="17" t="n"/>
      <c r="AF910" s="17" t="n"/>
      <c r="AG910" s="17" t="n"/>
      <c r="AH910" s="17" t="n"/>
      <c r="AI910" s="17" t="n"/>
      <c r="AJ910" s="17" t="n"/>
    </row>
    <row r="911" ht="15.75" customHeight="1" s="44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/>
      <c r="Z911" s="17" t="n"/>
      <c r="AA911" s="17" t="n"/>
      <c r="AB911" s="17" t="n"/>
      <c r="AC911" s="17" t="n"/>
      <c r="AD911" s="17" t="n"/>
      <c r="AE911" s="17" t="n"/>
      <c r="AF911" s="17" t="n"/>
      <c r="AG911" s="17" t="n"/>
      <c r="AH911" s="17" t="n"/>
      <c r="AI911" s="17" t="n"/>
      <c r="AJ911" s="17" t="n"/>
    </row>
    <row r="912" ht="15.75" customHeight="1" s="44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/>
      <c r="Z912" s="17" t="n"/>
      <c r="AA912" s="17" t="n"/>
      <c r="AB912" s="17" t="n"/>
      <c r="AC912" s="17" t="n"/>
      <c r="AD912" s="17" t="n"/>
      <c r="AE912" s="17" t="n"/>
      <c r="AF912" s="17" t="n"/>
      <c r="AG912" s="17" t="n"/>
      <c r="AH912" s="17" t="n"/>
      <c r="AI912" s="17" t="n"/>
      <c r="AJ912" s="17" t="n"/>
    </row>
    <row r="913" ht="15.75" customHeight="1" s="44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/>
      <c r="Z913" s="17" t="n"/>
      <c r="AA913" s="17" t="n"/>
      <c r="AB913" s="17" t="n"/>
      <c r="AC913" s="17" t="n"/>
      <c r="AD913" s="17" t="n"/>
      <c r="AE913" s="17" t="n"/>
      <c r="AF913" s="17" t="n"/>
      <c r="AG913" s="17" t="n"/>
      <c r="AH913" s="17" t="n"/>
      <c r="AI913" s="17" t="n"/>
      <c r="AJ913" s="17" t="n"/>
    </row>
    <row r="914" ht="15.75" customHeight="1" s="4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/>
      <c r="Z914" s="17" t="n"/>
      <c r="AA914" s="17" t="n"/>
      <c r="AB914" s="17" t="n"/>
      <c r="AC914" s="17" t="n"/>
      <c r="AD914" s="17" t="n"/>
      <c r="AE914" s="17" t="n"/>
      <c r="AF914" s="17" t="n"/>
      <c r="AG914" s="17" t="n"/>
      <c r="AH914" s="17" t="n"/>
      <c r="AI914" s="17" t="n"/>
      <c r="AJ914" s="17" t="n"/>
    </row>
    <row r="915" ht="15.75" customHeight="1" s="44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/>
      <c r="Z915" s="17" t="n"/>
      <c r="AA915" s="17" t="n"/>
      <c r="AB915" s="17" t="n"/>
      <c r="AC915" s="17" t="n"/>
      <c r="AD915" s="17" t="n"/>
      <c r="AE915" s="17" t="n"/>
      <c r="AF915" s="17" t="n"/>
      <c r="AG915" s="17" t="n"/>
      <c r="AH915" s="17" t="n"/>
      <c r="AI915" s="17" t="n"/>
      <c r="AJ915" s="17" t="n"/>
    </row>
    <row r="916" ht="15.75" customHeight="1" s="44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/>
      <c r="Z916" s="17" t="n"/>
      <c r="AA916" s="17" t="n"/>
      <c r="AB916" s="17" t="n"/>
      <c r="AC916" s="17" t="n"/>
      <c r="AD916" s="17" t="n"/>
      <c r="AE916" s="17" t="n"/>
      <c r="AF916" s="17" t="n"/>
      <c r="AG916" s="17" t="n"/>
      <c r="AH916" s="17" t="n"/>
      <c r="AI916" s="17" t="n"/>
      <c r="AJ916" s="17" t="n"/>
    </row>
    <row r="917" ht="15.75" customHeight="1" s="44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/>
      <c r="Z917" s="17" t="n"/>
      <c r="AA917" s="17" t="n"/>
      <c r="AB917" s="17" t="n"/>
      <c r="AC917" s="17" t="n"/>
      <c r="AD917" s="17" t="n"/>
      <c r="AE917" s="17" t="n"/>
      <c r="AF917" s="17" t="n"/>
      <c r="AG917" s="17" t="n"/>
      <c r="AH917" s="17" t="n"/>
      <c r="AI917" s="17" t="n"/>
      <c r="AJ917" s="17" t="n"/>
    </row>
    <row r="918" ht="15.75" customHeight="1" s="44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7" t="n"/>
      <c r="AA918" s="17" t="n"/>
      <c r="AB918" s="17" t="n"/>
      <c r="AC918" s="17" t="n"/>
      <c r="AD918" s="17" t="n"/>
      <c r="AE918" s="17" t="n"/>
      <c r="AF918" s="17" t="n"/>
      <c r="AG918" s="17" t="n"/>
      <c r="AH918" s="17" t="n"/>
      <c r="AI918" s="17" t="n"/>
      <c r="AJ918" s="17" t="n"/>
    </row>
    <row r="919" ht="15.75" customHeight="1" s="44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/>
      <c r="Z919" s="17" t="n"/>
      <c r="AA919" s="17" t="n"/>
      <c r="AB919" s="17" t="n"/>
      <c r="AC919" s="17" t="n"/>
      <c r="AD919" s="17" t="n"/>
      <c r="AE919" s="17" t="n"/>
      <c r="AF919" s="17" t="n"/>
      <c r="AG919" s="17" t="n"/>
      <c r="AH919" s="17" t="n"/>
      <c r="AI919" s="17" t="n"/>
      <c r="AJ919" s="17" t="n"/>
    </row>
    <row r="920" ht="15.75" customHeight="1" s="44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/>
      <c r="Z920" s="17" t="n"/>
      <c r="AA920" s="17" t="n"/>
      <c r="AB920" s="17" t="n"/>
      <c r="AC920" s="17" t="n"/>
      <c r="AD920" s="17" t="n"/>
      <c r="AE920" s="17" t="n"/>
      <c r="AF920" s="17" t="n"/>
      <c r="AG920" s="17" t="n"/>
      <c r="AH920" s="17" t="n"/>
      <c r="AI920" s="17" t="n"/>
      <c r="AJ920" s="17" t="n"/>
    </row>
    <row r="921" ht="15.75" customHeight="1" s="44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7" t="n"/>
      <c r="AA921" s="17" t="n"/>
      <c r="AB921" s="17" t="n"/>
      <c r="AC921" s="17" t="n"/>
      <c r="AD921" s="17" t="n"/>
      <c r="AE921" s="17" t="n"/>
      <c r="AF921" s="17" t="n"/>
      <c r="AG921" s="17" t="n"/>
      <c r="AH921" s="17" t="n"/>
      <c r="AI921" s="17" t="n"/>
      <c r="AJ921" s="17" t="n"/>
    </row>
    <row r="922" ht="15.75" customHeight="1" s="44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/>
      <c r="Z922" s="17" t="n"/>
      <c r="AA922" s="17" t="n"/>
      <c r="AB922" s="17" t="n"/>
      <c r="AC922" s="17" t="n"/>
      <c r="AD922" s="17" t="n"/>
      <c r="AE922" s="17" t="n"/>
      <c r="AF922" s="17" t="n"/>
      <c r="AG922" s="17" t="n"/>
      <c r="AH922" s="17" t="n"/>
      <c r="AI922" s="17" t="n"/>
      <c r="AJ922" s="17" t="n"/>
    </row>
    <row r="923" ht="15.75" customHeight="1" s="44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/>
      <c r="Z923" s="17" t="n"/>
      <c r="AA923" s="17" t="n"/>
      <c r="AB923" s="17" t="n"/>
      <c r="AC923" s="17" t="n"/>
      <c r="AD923" s="17" t="n"/>
      <c r="AE923" s="17" t="n"/>
      <c r="AF923" s="17" t="n"/>
      <c r="AG923" s="17" t="n"/>
      <c r="AH923" s="17" t="n"/>
      <c r="AI923" s="17" t="n"/>
      <c r="AJ923" s="17" t="n"/>
    </row>
    <row r="924" ht="15.75" customHeight="1" s="4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/>
      <c r="Z924" s="17" t="n"/>
      <c r="AA924" s="17" t="n"/>
      <c r="AB924" s="17" t="n"/>
      <c r="AC924" s="17" t="n"/>
      <c r="AD924" s="17" t="n"/>
      <c r="AE924" s="17" t="n"/>
      <c r="AF924" s="17" t="n"/>
      <c r="AG924" s="17" t="n"/>
      <c r="AH924" s="17" t="n"/>
      <c r="AI924" s="17" t="n"/>
      <c r="AJ924" s="17" t="n"/>
    </row>
    <row r="925" ht="15.75" customHeight="1" s="44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/>
      <c r="Z925" s="17" t="n"/>
      <c r="AA925" s="17" t="n"/>
      <c r="AB925" s="17" t="n"/>
      <c r="AC925" s="17" t="n"/>
      <c r="AD925" s="17" t="n"/>
      <c r="AE925" s="17" t="n"/>
      <c r="AF925" s="17" t="n"/>
      <c r="AG925" s="17" t="n"/>
      <c r="AH925" s="17" t="n"/>
      <c r="AI925" s="17" t="n"/>
      <c r="AJ925" s="17" t="n"/>
    </row>
    <row r="926" ht="15.75" customHeight="1" s="44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/>
      <c r="Z926" s="17" t="n"/>
      <c r="AA926" s="17" t="n"/>
      <c r="AB926" s="17" t="n"/>
      <c r="AC926" s="17" t="n"/>
      <c r="AD926" s="17" t="n"/>
      <c r="AE926" s="17" t="n"/>
      <c r="AF926" s="17" t="n"/>
      <c r="AG926" s="17" t="n"/>
      <c r="AH926" s="17" t="n"/>
      <c r="AI926" s="17" t="n"/>
      <c r="AJ926" s="17" t="n"/>
    </row>
    <row r="927" ht="15.75" customHeight="1" s="44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/>
      <c r="Z927" s="17" t="n"/>
      <c r="AA927" s="17" t="n"/>
      <c r="AB927" s="17" t="n"/>
      <c r="AC927" s="17" t="n"/>
      <c r="AD927" s="17" t="n"/>
      <c r="AE927" s="17" t="n"/>
      <c r="AF927" s="17" t="n"/>
      <c r="AG927" s="17" t="n"/>
      <c r="AH927" s="17" t="n"/>
      <c r="AI927" s="17" t="n"/>
      <c r="AJ927" s="17" t="n"/>
    </row>
    <row r="928" ht="15.75" customHeight="1" s="44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/>
      <c r="Z928" s="17" t="n"/>
      <c r="AA928" s="17" t="n"/>
      <c r="AB928" s="17" t="n"/>
      <c r="AC928" s="17" t="n"/>
      <c r="AD928" s="17" t="n"/>
      <c r="AE928" s="17" t="n"/>
      <c r="AF928" s="17" t="n"/>
      <c r="AG928" s="17" t="n"/>
      <c r="AH928" s="17" t="n"/>
      <c r="AI928" s="17" t="n"/>
      <c r="AJ928" s="17" t="n"/>
    </row>
    <row r="929" ht="15.75" customHeight="1" s="44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/>
      <c r="Z929" s="17" t="n"/>
      <c r="AA929" s="17" t="n"/>
      <c r="AB929" s="17" t="n"/>
      <c r="AC929" s="17" t="n"/>
      <c r="AD929" s="17" t="n"/>
      <c r="AE929" s="17" t="n"/>
      <c r="AF929" s="17" t="n"/>
      <c r="AG929" s="17" t="n"/>
      <c r="AH929" s="17" t="n"/>
      <c r="AI929" s="17" t="n"/>
      <c r="AJ929" s="17" t="n"/>
    </row>
    <row r="930" ht="15.75" customHeight="1" s="44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/>
      <c r="Z930" s="17" t="n"/>
      <c r="AA930" s="17" t="n"/>
      <c r="AB930" s="17" t="n"/>
      <c r="AC930" s="17" t="n"/>
      <c r="AD930" s="17" t="n"/>
      <c r="AE930" s="17" t="n"/>
      <c r="AF930" s="17" t="n"/>
      <c r="AG930" s="17" t="n"/>
      <c r="AH930" s="17" t="n"/>
      <c r="AI930" s="17" t="n"/>
      <c r="AJ930" s="17" t="n"/>
    </row>
    <row r="931" ht="15.75" customHeight="1" s="44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/>
      <c r="Z931" s="17" t="n"/>
      <c r="AA931" s="17" t="n"/>
      <c r="AB931" s="17" t="n"/>
      <c r="AC931" s="17" t="n"/>
      <c r="AD931" s="17" t="n"/>
      <c r="AE931" s="17" t="n"/>
      <c r="AF931" s="17" t="n"/>
      <c r="AG931" s="17" t="n"/>
      <c r="AH931" s="17" t="n"/>
      <c r="AI931" s="17" t="n"/>
      <c r="AJ931" s="17" t="n"/>
    </row>
    <row r="932" ht="15.75" customHeight="1" s="44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/>
      <c r="Z932" s="17" t="n"/>
      <c r="AA932" s="17" t="n"/>
      <c r="AB932" s="17" t="n"/>
      <c r="AC932" s="17" t="n"/>
      <c r="AD932" s="17" t="n"/>
      <c r="AE932" s="17" t="n"/>
      <c r="AF932" s="17" t="n"/>
      <c r="AG932" s="17" t="n"/>
      <c r="AH932" s="17" t="n"/>
      <c r="AI932" s="17" t="n"/>
      <c r="AJ932" s="17" t="n"/>
    </row>
    <row r="933" ht="15.75" customHeight="1" s="44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/>
      <c r="Z933" s="17" t="n"/>
      <c r="AA933" s="17" t="n"/>
      <c r="AB933" s="17" t="n"/>
      <c r="AC933" s="17" t="n"/>
      <c r="AD933" s="17" t="n"/>
      <c r="AE933" s="17" t="n"/>
      <c r="AF933" s="17" t="n"/>
      <c r="AG933" s="17" t="n"/>
      <c r="AH933" s="17" t="n"/>
      <c r="AI933" s="17" t="n"/>
      <c r="AJ933" s="17" t="n"/>
    </row>
    <row r="934" ht="15.75" customHeight="1" s="4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/>
      <c r="Z934" s="17" t="n"/>
      <c r="AA934" s="17" t="n"/>
      <c r="AB934" s="17" t="n"/>
      <c r="AC934" s="17" t="n"/>
      <c r="AD934" s="17" t="n"/>
      <c r="AE934" s="17" t="n"/>
      <c r="AF934" s="17" t="n"/>
      <c r="AG934" s="17" t="n"/>
      <c r="AH934" s="17" t="n"/>
      <c r="AI934" s="17" t="n"/>
      <c r="AJ934" s="17" t="n"/>
    </row>
    <row r="935" ht="15.75" customHeight="1" s="44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/>
      <c r="Z935" s="17" t="n"/>
      <c r="AA935" s="17" t="n"/>
      <c r="AB935" s="17" t="n"/>
      <c r="AC935" s="17" t="n"/>
      <c r="AD935" s="17" t="n"/>
      <c r="AE935" s="17" t="n"/>
      <c r="AF935" s="17" t="n"/>
      <c r="AG935" s="17" t="n"/>
      <c r="AH935" s="17" t="n"/>
      <c r="AI935" s="17" t="n"/>
      <c r="AJ935" s="17" t="n"/>
    </row>
    <row r="936" ht="15.75" customHeight="1" s="44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/>
      <c r="Z936" s="17" t="n"/>
      <c r="AA936" s="17" t="n"/>
      <c r="AB936" s="17" t="n"/>
      <c r="AC936" s="17" t="n"/>
      <c r="AD936" s="17" t="n"/>
      <c r="AE936" s="17" t="n"/>
      <c r="AF936" s="17" t="n"/>
      <c r="AG936" s="17" t="n"/>
      <c r="AH936" s="17" t="n"/>
      <c r="AI936" s="17" t="n"/>
      <c r="AJ936" s="17" t="n"/>
    </row>
    <row r="937" ht="15.75" customHeight="1" s="44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/>
      <c r="Z937" s="17" t="n"/>
      <c r="AA937" s="17" t="n"/>
      <c r="AB937" s="17" t="n"/>
      <c r="AC937" s="17" t="n"/>
      <c r="AD937" s="17" t="n"/>
      <c r="AE937" s="17" t="n"/>
      <c r="AF937" s="17" t="n"/>
      <c r="AG937" s="17" t="n"/>
      <c r="AH937" s="17" t="n"/>
      <c r="AI937" s="17" t="n"/>
      <c r="AJ937" s="17" t="n"/>
    </row>
    <row r="938" ht="15.75" customHeight="1" s="44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/>
      <c r="Z938" s="17" t="n"/>
      <c r="AA938" s="17" t="n"/>
      <c r="AB938" s="17" t="n"/>
      <c r="AC938" s="17" t="n"/>
      <c r="AD938" s="17" t="n"/>
      <c r="AE938" s="17" t="n"/>
      <c r="AF938" s="17" t="n"/>
      <c r="AG938" s="17" t="n"/>
      <c r="AH938" s="17" t="n"/>
      <c r="AI938" s="17" t="n"/>
      <c r="AJ938" s="17" t="n"/>
    </row>
    <row r="939" ht="15.75" customHeight="1" s="44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/>
      <c r="Z939" s="17" t="n"/>
      <c r="AA939" s="17" t="n"/>
      <c r="AB939" s="17" t="n"/>
      <c r="AC939" s="17" t="n"/>
      <c r="AD939" s="17" t="n"/>
      <c r="AE939" s="17" t="n"/>
      <c r="AF939" s="17" t="n"/>
      <c r="AG939" s="17" t="n"/>
      <c r="AH939" s="17" t="n"/>
      <c r="AI939" s="17" t="n"/>
      <c r="AJ939" s="17" t="n"/>
    </row>
    <row r="940" ht="15.75" customHeight="1" s="44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/>
      <c r="Z940" s="17" t="n"/>
      <c r="AA940" s="17" t="n"/>
      <c r="AB940" s="17" t="n"/>
      <c r="AC940" s="17" t="n"/>
      <c r="AD940" s="17" t="n"/>
      <c r="AE940" s="17" t="n"/>
      <c r="AF940" s="17" t="n"/>
      <c r="AG940" s="17" t="n"/>
      <c r="AH940" s="17" t="n"/>
      <c r="AI940" s="17" t="n"/>
      <c r="AJ940" s="17" t="n"/>
    </row>
    <row r="941" ht="15.75" customHeight="1" s="44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/>
      <c r="Z941" s="17" t="n"/>
      <c r="AA941" s="17" t="n"/>
      <c r="AB941" s="17" t="n"/>
      <c r="AC941" s="17" t="n"/>
      <c r="AD941" s="17" t="n"/>
      <c r="AE941" s="17" t="n"/>
      <c r="AF941" s="17" t="n"/>
      <c r="AG941" s="17" t="n"/>
      <c r="AH941" s="17" t="n"/>
      <c r="AI941" s="17" t="n"/>
      <c r="AJ941" s="17" t="n"/>
    </row>
    <row r="942" ht="15.75" customHeight="1" s="44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/>
      <c r="Z942" s="17" t="n"/>
      <c r="AA942" s="17" t="n"/>
      <c r="AB942" s="17" t="n"/>
      <c r="AC942" s="17" t="n"/>
      <c r="AD942" s="17" t="n"/>
      <c r="AE942" s="17" t="n"/>
      <c r="AF942" s="17" t="n"/>
      <c r="AG942" s="17" t="n"/>
      <c r="AH942" s="17" t="n"/>
      <c r="AI942" s="17" t="n"/>
      <c r="AJ942" s="17" t="n"/>
    </row>
    <row r="943" ht="15.75" customHeight="1" s="44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7" t="n"/>
      <c r="Z943" s="17" t="n"/>
      <c r="AA943" s="17" t="n"/>
      <c r="AB943" s="17" t="n"/>
      <c r="AC943" s="17" t="n"/>
      <c r="AD943" s="17" t="n"/>
      <c r="AE943" s="17" t="n"/>
      <c r="AF943" s="17" t="n"/>
      <c r="AG943" s="17" t="n"/>
      <c r="AH943" s="17" t="n"/>
      <c r="AI943" s="17" t="n"/>
      <c r="AJ943" s="17" t="n"/>
    </row>
    <row r="944" ht="15.75" customHeight="1" s="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/>
      <c r="Z944" s="17" t="n"/>
      <c r="AA944" s="17" t="n"/>
      <c r="AB944" s="17" t="n"/>
      <c r="AC944" s="17" t="n"/>
      <c r="AD944" s="17" t="n"/>
      <c r="AE944" s="17" t="n"/>
      <c r="AF944" s="17" t="n"/>
      <c r="AG944" s="17" t="n"/>
      <c r="AH944" s="17" t="n"/>
      <c r="AI944" s="17" t="n"/>
      <c r="AJ944" s="17" t="n"/>
    </row>
    <row r="945" ht="15.75" customHeight="1" s="44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/>
      <c r="Z945" s="17" t="n"/>
      <c r="AA945" s="17" t="n"/>
      <c r="AB945" s="17" t="n"/>
      <c r="AC945" s="17" t="n"/>
      <c r="AD945" s="17" t="n"/>
      <c r="AE945" s="17" t="n"/>
      <c r="AF945" s="17" t="n"/>
      <c r="AG945" s="17" t="n"/>
      <c r="AH945" s="17" t="n"/>
      <c r="AI945" s="17" t="n"/>
      <c r="AJ945" s="17" t="n"/>
    </row>
    <row r="946" ht="15.75" customHeight="1" s="44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/>
      <c r="Z946" s="17" t="n"/>
      <c r="AA946" s="17" t="n"/>
      <c r="AB946" s="17" t="n"/>
      <c r="AC946" s="17" t="n"/>
      <c r="AD946" s="17" t="n"/>
      <c r="AE946" s="17" t="n"/>
      <c r="AF946" s="17" t="n"/>
      <c r="AG946" s="17" t="n"/>
      <c r="AH946" s="17" t="n"/>
      <c r="AI946" s="17" t="n"/>
      <c r="AJ946" s="17" t="n"/>
    </row>
    <row r="947" ht="15.75" customHeight="1" s="44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/>
      <c r="Z947" s="17" t="n"/>
      <c r="AA947" s="17" t="n"/>
      <c r="AB947" s="17" t="n"/>
      <c r="AC947" s="17" t="n"/>
      <c r="AD947" s="17" t="n"/>
      <c r="AE947" s="17" t="n"/>
      <c r="AF947" s="17" t="n"/>
      <c r="AG947" s="17" t="n"/>
      <c r="AH947" s="17" t="n"/>
      <c r="AI947" s="17" t="n"/>
      <c r="AJ947" s="17" t="n"/>
    </row>
    <row r="948" ht="15.75" customHeight="1" s="44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/>
      <c r="Z948" s="17" t="n"/>
      <c r="AA948" s="17" t="n"/>
      <c r="AB948" s="17" t="n"/>
      <c r="AC948" s="17" t="n"/>
      <c r="AD948" s="17" t="n"/>
      <c r="AE948" s="17" t="n"/>
      <c r="AF948" s="17" t="n"/>
      <c r="AG948" s="17" t="n"/>
      <c r="AH948" s="17" t="n"/>
      <c r="AI948" s="17" t="n"/>
      <c r="AJ948" s="17" t="n"/>
    </row>
    <row r="949" ht="15.75" customHeight="1" s="44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/>
      <c r="Z949" s="17" t="n"/>
      <c r="AA949" s="17" t="n"/>
      <c r="AB949" s="17" t="n"/>
      <c r="AC949" s="17" t="n"/>
      <c r="AD949" s="17" t="n"/>
      <c r="AE949" s="17" t="n"/>
      <c r="AF949" s="17" t="n"/>
      <c r="AG949" s="17" t="n"/>
      <c r="AH949" s="17" t="n"/>
      <c r="AI949" s="17" t="n"/>
      <c r="AJ949" s="17" t="n"/>
    </row>
    <row r="950" ht="15.75" customHeight="1" s="44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/>
      <c r="Z950" s="17" t="n"/>
      <c r="AA950" s="17" t="n"/>
      <c r="AB950" s="17" t="n"/>
      <c r="AC950" s="17" t="n"/>
      <c r="AD950" s="17" t="n"/>
      <c r="AE950" s="17" t="n"/>
      <c r="AF950" s="17" t="n"/>
      <c r="AG950" s="17" t="n"/>
      <c r="AH950" s="17" t="n"/>
      <c r="AI950" s="17" t="n"/>
      <c r="AJ950" s="17" t="n"/>
    </row>
    <row r="951" ht="15.75" customHeight="1" s="44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/>
      <c r="Z951" s="17" t="n"/>
      <c r="AA951" s="17" t="n"/>
      <c r="AB951" s="17" t="n"/>
      <c r="AC951" s="17" t="n"/>
      <c r="AD951" s="17" t="n"/>
      <c r="AE951" s="17" t="n"/>
      <c r="AF951" s="17" t="n"/>
      <c r="AG951" s="17" t="n"/>
      <c r="AH951" s="17" t="n"/>
      <c r="AI951" s="17" t="n"/>
      <c r="AJ951" s="17" t="n"/>
    </row>
    <row r="952" ht="15.75" customHeight="1" s="44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/>
      <c r="Z952" s="17" t="n"/>
      <c r="AA952" s="17" t="n"/>
      <c r="AB952" s="17" t="n"/>
      <c r="AC952" s="17" t="n"/>
      <c r="AD952" s="17" t="n"/>
      <c r="AE952" s="17" t="n"/>
      <c r="AF952" s="17" t="n"/>
      <c r="AG952" s="17" t="n"/>
      <c r="AH952" s="17" t="n"/>
      <c r="AI952" s="17" t="n"/>
      <c r="AJ952" s="17" t="n"/>
    </row>
    <row r="953" ht="15.75" customHeight="1" s="44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/>
      <c r="Z953" s="17" t="n"/>
      <c r="AA953" s="17" t="n"/>
      <c r="AB953" s="17" t="n"/>
      <c r="AC953" s="17" t="n"/>
      <c r="AD953" s="17" t="n"/>
      <c r="AE953" s="17" t="n"/>
      <c r="AF953" s="17" t="n"/>
      <c r="AG953" s="17" t="n"/>
      <c r="AH953" s="17" t="n"/>
      <c r="AI953" s="17" t="n"/>
      <c r="AJ953" s="17" t="n"/>
    </row>
    <row r="954" ht="15.75" customHeight="1" s="4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/>
      <c r="Z954" s="17" t="n"/>
      <c r="AA954" s="17" t="n"/>
      <c r="AB954" s="17" t="n"/>
      <c r="AC954" s="17" t="n"/>
      <c r="AD954" s="17" t="n"/>
      <c r="AE954" s="17" t="n"/>
      <c r="AF954" s="17" t="n"/>
      <c r="AG954" s="17" t="n"/>
      <c r="AH954" s="17" t="n"/>
      <c r="AI954" s="17" t="n"/>
      <c r="AJ954" s="17" t="n"/>
    </row>
    <row r="955" ht="15.75" customHeight="1" s="44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/>
      <c r="Z955" s="17" t="n"/>
      <c r="AA955" s="17" t="n"/>
      <c r="AB955" s="17" t="n"/>
      <c r="AC955" s="17" t="n"/>
      <c r="AD955" s="17" t="n"/>
      <c r="AE955" s="17" t="n"/>
      <c r="AF955" s="17" t="n"/>
      <c r="AG955" s="17" t="n"/>
      <c r="AH955" s="17" t="n"/>
      <c r="AI955" s="17" t="n"/>
      <c r="AJ955" s="17" t="n"/>
    </row>
    <row r="956" ht="15.75" customHeight="1" s="44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/>
      <c r="Z956" s="17" t="n"/>
      <c r="AA956" s="17" t="n"/>
      <c r="AB956" s="17" t="n"/>
      <c r="AC956" s="17" t="n"/>
      <c r="AD956" s="17" t="n"/>
      <c r="AE956" s="17" t="n"/>
      <c r="AF956" s="17" t="n"/>
      <c r="AG956" s="17" t="n"/>
      <c r="AH956" s="17" t="n"/>
      <c r="AI956" s="17" t="n"/>
      <c r="AJ956" s="17" t="n"/>
    </row>
    <row r="957" ht="15.75" customHeight="1" s="44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/>
      <c r="Z957" s="17" t="n"/>
      <c r="AA957" s="17" t="n"/>
      <c r="AB957" s="17" t="n"/>
      <c r="AC957" s="17" t="n"/>
      <c r="AD957" s="17" t="n"/>
      <c r="AE957" s="17" t="n"/>
      <c r="AF957" s="17" t="n"/>
      <c r="AG957" s="17" t="n"/>
      <c r="AH957" s="17" t="n"/>
      <c r="AI957" s="17" t="n"/>
      <c r="AJ957" s="17" t="n"/>
    </row>
    <row r="958" ht="15.75" customHeight="1" s="44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/>
      <c r="Z958" s="17" t="n"/>
      <c r="AA958" s="17" t="n"/>
      <c r="AB958" s="17" t="n"/>
      <c r="AC958" s="17" t="n"/>
      <c r="AD958" s="17" t="n"/>
      <c r="AE958" s="17" t="n"/>
      <c r="AF958" s="17" t="n"/>
      <c r="AG958" s="17" t="n"/>
      <c r="AH958" s="17" t="n"/>
      <c r="AI958" s="17" t="n"/>
      <c r="AJ958" s="17" t="n"/>
    </row>
    <row r="959" ht="15.75" customHeight="1" s="44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/>
      <c r="Z959" s="17" t="n"/>
      <c r="AA959" s="17" t="n"/>
      <c r="AB959" s="17" t="n"/>
      <c r="AC959" s="17" t="n"/>
      <c r="AD959" s="17" t="n"/>
      <c r="AE959" s="17" t="n"/>
      <c r="AF959" s="17" t="n"/>
      <c r="AG959" s="17" t="n"/>
      <c r="AH959" s="17" t="n"/>
      <c r="AI959" s="17" t="n"/>
      <c r="AJ959" s="17" t="n"/>
    </row>
    <row r="960" ht="15.75" customHeight="1" s="44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/>
      <c r="Z960" s="17" t="n"/>
      <c r="AA960" s="17" t="n"/>
      <c r="AB960" s="17" t="n"/>
      <c r="AC960" s="17" t="n"/>
      <c r="AD960" s="17" t="n"/>
      <c r="AE960" s="17" t="n"/>
      <c r="AF960" s="17" t="n"/>
      <c r="AG960" s="17" t="n"/>
      <c r="AH960" s="17" t="n"/>
      <c r="AI960" s="17" t="n"/>
      <c r="AJ960" s="17" t="n"/>
    </row>
    <row r="961" ht="15.75" customHeight="1" s="44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/>
      <c r="Z961" s="17" t="n"/>
      <c r="AA961" s="17" t="n"/>
      <c r="AB961" s="17" t="n"/>
      <c r="AC961" s="17" t="n"/>
      <c r="AD961" s="17" t="n"/>
      <c r="AE961" s="17" t="n"/>
      <c r="AF961" s="17" t="n"/>
      <c r="AG961" s="17" t="n"/>
      <c r="AH961" s="17" t="n"/>
      <c r="AI961" s="17" t="n"/>
      <c r="AJ961" s="17" t="n"/>
    </row>
    <row r="962" ht="15.75" customHeight="1" s="44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/>
      <c r="Z962" s="17" t="n"/>
      <c r="AA962" s="17" t="n"/>
      <c r="AB962" s="17" t="n"/>
      <c r="AC962" s="17" t="n"/>
      <c r="AD962" s="17" t="n"/>
      <c r="AE962" s="17" t="n"/>
      <c r="AF962" s="17" t="n"/>
      <c r="AG962" s="17" t="n"/>
      <c r="AH962" s="17" t="n"/>
      <c r="AI962" s="17" t="n"/>
      <c r="AJ962" s="17" t="n"/>
    </row>
    <row r="963" ht="15.75" customHeight="1" s="44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/>
      <c r="Z963" s="17" t="n"/>
      <c r="AA963" s="17" t="n"/>
      <c r="AB963" s="17" t="n"/>
      <c r="AC963" s="17" t="n"/>
      <c r="AD963" s="17" t="n"/>
      <c r="AE963" s="17" t="n"/>
      <c r="AF963" s="17" t="n"/>
      <c r="AG963" s="17" t="n"/>
      <c r="AH963" s="17" t="n"/>
      <c r="AI963" s="17" t="n"/>
      <c r="AJ963" s="17" t="n"/>
    </row>
    <row r="964" ht="15.75" customHeight="1" s="4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/>
      <c r="Z964" s="17" t="n"/>
      <c r="AA964" s="17" t="n"/>
      <c r="AB964" s="17" t="n"/>
      <c r="AC964" s="17" t="n"/>
      <c r="AD964" s="17" t="n"/>
      <c r="AE964" s="17" t="n"/>
      <c r="AF964" s="17" t="n"/>
      <c r="AG964" s="17" t="n"/>
      <c r="AH964" s="17" t="n"/>
      <c r="AI964" s="17" t="n"/>
      <c r="AJ964" s="17" t="n"/>
    </row>
    <row r="965" ht="15.75" customHeight="1" s="44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/>
      <c r="Z965" s="17" t="n"/>
      <c r="AA965" s="17" t="n"/>
      <c r="AB965" s="17" t="n"/>
      <c r="AC965" s="17" t="n"/>
      <c r="AD965" s="17" t="n"/>
      <c r="AE965" s="17" t="n"/>
      <c r="AF965" s="17" t="n"/>
      <c r="AG965" s="17" t="n"/>
      <c r="AH965" s="17" t="n"/>
      <c r="AI965" s="17" t="n"/>
      <c r="AJ965" s="17" t="n"/>
    </row>
    <row r="966" ht="15.75" customHeight="1" s="44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/>
      <c r="Z966" s="17" t="n"/>
      <c r="AA966" s="17" t="n"/>
      <c r="AB966" s="17" t="n"/>
      <c r="AC966" s="17" t="n"/>
      <c r="AD966" s="17" t="n"/>
      <c r="AE966" s="17" t="n"/>
      <c r="AF966" s="17" t="n"/>
      <c r="AG966" s="17" t="n"/>
      <c r="AH966" s="17" t="n"/>
      <c r="AI966" s="17" t="n"/>
      <c r="AJ966" s="17" t="n"/>
    </row>
    <row r="967" ht="15.75" customHeight="1" s="44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/>
      <c r="Z967" s="17" t="n"/>
      <c r="AA967" s="17" t="n"/>
      <c r="AB967" s="17" t="n"/>
      <c r="AC967" s="17" t="n"/>
      <c r="AD967" s="17" t="n"/>
      <c r="AE967" s="17" t="n"/>
      <c r="AF967" s="17" t="n"/>
      <c r="AG967" s="17" t="n"/>
      <c r="AH967" s="17" t="n"/>
      <c r="AI967" s="17" t="n"/>
      <c r="AJ967" s="17" t="n"/>
    </row>
    <row r="968" ht="15.75" customHeight="1" s="44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/>
      <c r="Z968" s="17" t="n"/>
      <c r="AA968" s="17" t="n"/>
      <c r="AB968" s="17" t="n"/>
      <c r="AC968" s="17" t="n"/>
      <c r="AD968" s="17" t="n"/>
      <c r="AE968" s="17" t="n"/>
      <c r="AF968" s="17" t="n"/>
      <c r="AG968" s="17" t="n"/>
      <c r="AH968" s="17" t="n"/>
      <c r="AI968" s="17" t="n"/>
      <c r="AJ968" s="17" t="n"/>
    </row>
    <row r="969" ht="15.75" customHeight="1" s="44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/>
      <c r="Z969" s="17" t="n"/>
      <c r="AA969" s="17" t="n"/>
      <c r="AB969" s="17" t="n"/>
      <c r="AC969" s="17" t="n"/>
      <c r="AD969" s="17" t="n"/>
      <c r="AE969" s="17" t="n"/>
      <c r="AF969" s="17" t="n"/>
      <c r="AG969" s="17" t="n"/>
      <c r="AH969" s="17" t="n"/>
      <c r="AI969" s="17" t="n"/>
      <c r="AJ969" s="17" t="n"/>
    </row>
    <row r="970" ht="15.75" customHeight="1" s="44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/>
      <c r="Z970" s="17" t="n"/>
      <c r="AA970" s="17" t="n"/>
      <c r="AB970" s="17" t="n"/>
      <c r="AC970" s="17" t="n"/>
      <c r="AD970" s="17" t="n"/>
      <c r="AE970" s="17" t="n"/>
      <c r="AF970" s="17" t="n"/>
      <c r="AG970" s="17" t="n"/>
      <c r="AH970" s="17" t="n"/>
      <c r="AI970" s="17" t="n"/>
      <c r="AJ970" s="17" t="n"/>
    </row>
    <row r="971" ht="15.75" customHeight="1" s="44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/>
      <c r="Z971" s="17" t="n"/>
      <c r="AA971" s="17" t="n"/>
      <c r="AB971" s="17" t="n"/>
      <c r="AC971" s="17" t="n"/>
      <c r="AD971" s="17" t="n"/>
      <c r="AE971" s="17" t="n"/>
      <c r="AF971" s="17" t="n"/>
      <c r="AG971" s="17" t="n"/>
      <c r="AH971" s="17" t="n"/>
      <c r="AI971" s="17" t="n"/>
      <c r="AJ971" s="17" t="n"/>
    </row>
    <row r="972" ht="15.75" customHeight="1" s="44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/>
      <c r="Z972" s="17" t="n"/>
      <c r="AA972" s="17" t="n"/>
      <c r="AB972" s="17" t="n"/>
      <c r="AC972" s="17" t="n"/>
      <c r="AD972" s="17" t="n"/>
      <c r="AE972" s="17" t="n"/>
      <c r="AF972" s="17" t="n"/>
      <c r="AG972" s="17" t="n"/>
      <c r="AH972" s="17" t="n"/>
      <c r="AI972" s="17" t="n"/>
      <c r="AJ972" s="17" t="n"/>
    </row>
    <row r="973" ht="15.75" customHeight="1" s="44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/>
      <c r="Z973" s="17" t="n"/>
      <c r="AA973" s="17" t="n"/>
      <c r="AB973" s="17" t="n"/>
      <c r="AC973" s="17" t="n"/>
      <c r="AD973" s="17" t="n"/>
      <c r="AE973" s="17" t="n"/>
      <c r="AF973" s="17" t="n"/>
      <c r="AG973" s="17" t="n"/>
      <c r="AH973" s="17" t="n"/>
      <c r="AI973" s="17" t="n"/>
      <c r="AJ973" s="17" t="n"/>
    </row>
    <row r="974" ht="15.75" customHeight="1" s="4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/>
      <c r="Z974" s="17" t="n"/>
      <c r="AA974" s="17" t="n"/>
      <c r="AB974" s="17" t="n"/>
      <c r="AC974" s="17" t="n"/>
      <c r="AD974" s="17" t="n"/>
      <c r="AE974" s="17" t="n"/>
      <c r="AF974" s="17" t="n"/>
      <c r="AG974" s="17" t="n"/>
      <c r="AH974" s="17" t="n"/>
      <c r="AI974" s="17" t="n"/>
      <c r="AJ974" s="17" t="n"/>
    </row>
    <row r="975" ht="15.75" customHeight="1" s="44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/>
      <c r="Z975" s="17" t="n"/>
      <c r="AA975" s="17" t="n"/>
      <c r="AB975" s="17" t="n"/>
      <c r="AC975" s="17" t="n"/>
      <c r="AD975" s="17" t="n"/>
      <c r="AE975" s="17" t="n"/>
      <c r="AF975" s="17" t="n"/>
      <c r="AG975" s="17" t="n"/>
      <c r="AH975" s="17" t="n"/>
      <c r="AI975" s="17" t="n"/>
      <c r="AJ975" s="17" t="n"/>
    </row>
    <row r="976" ht="15.75" customHeight="1" s="44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/>
      <c r="Z976" s="17" t="n"/>
      <c r="AA976" s="17" t="n"/>
      <c r="AB976" s="17" t="n"/>
      <c r="AC976" s="17" t="n"/>
      <c r="AD976" s="17" t="n"/>
      <c r="AE976" s="17" t="n"/>
      <c r="AF976" s="17" t="n"/>
      <c r="AG976" s="17" t="n"/>
      <c r="AH976" s="17" t="n"/>
      <c r="AI976" s="17" t="n"/>
      <c r="AJ976" s="17" t="n"/>
    </row>
    <row r="977" ht="15.75" customHeight="1" s="44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/>
      <c r="Z977" s="17" t="n"/>
      <c r="AA977" s="17" t="n"/>
      <c r="AB977" s="17" t="n"/>
      <c r="AC977" s="17" t="n"/>
      <c r="AD977" s="17" t="n"/>
      <c r="AE977" s="17" t="n"/>
      <c r="AF977" s="17" t="n"/>
      <c r="AG977" s="17" t="n"/>
      <c r="AH977" s="17" t="n"/>
      <c r="AI977" s="17" t="n"/>
      <c r="AJ977" s="17" t="n"/>
    </row>
    <row r="978" ht="15.75" customHeight="1" s="44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7" t="n"/>
      <c r="Z978" s="17" t="n"/>
      <c r="AA978" s="17" t="n"/>
      <c r="AB978" s="17" t="n"/>
      <c r="AC978" s="17" t="n"/>
      <c r="AD978" s="17" t="n"/>
      <c r="AE978" s="17" t="n"/>
      <c r="AF978" s="17" t="n"/>
      <c r="AG978" s="17" t="n"/>
      <c r="AH978" s="17" t="n"/>
      <c r="AI978" s="17" t="n"/>
      <c r="AJ978" s="17" t="n"/>
    </row>
    <row r="979" ht="15.75" customHeight="1" s="44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/>
      <c r="Z979" s="17" t="n"/>
      <c r="AA979" s="17" t="n"/>
      <c r="AB979" s="17" t="n"/>
      <c r="AC979" s="17" t="n"/>
      <c r="AD979" s="17" t="n"/>
      <c r="AE979" s="17" t="n"/>
      <c r="AF979" s="17" t="n"/>
      <c r="AG979" s="17" t="n"/>
      <c r="AH979" s="17" t="n"/>
      <c r="AI979" s="17" t="n"/>
      <c r="AJ979" s="17" t="n"/>
    </row>
    <row r="980" ht="15.75" customHeight="1" s="44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/>
      <c r="Z980" s="17" t="n"/>
      <c r="AA980" s="17" t="n"/>
      <c r="AB980" s="17" t="n"/>
      <c r="AC980" s="17" t="n"/>
      <c r="AD980" s="17" t="n"/>
      <c r="AE980" s="17" t="n"/>
      <c r="AF980" s="17" t="n"/>
      <c r="AG980" s="17" t="n"/>
      <c r="AH980" s="17" t="n"/>
      <c r="AI980" s="17" t="n"/>
      <c r="AJ980" s="17" t="n"/>
    </row>
    <row r="981" ht="15.75" customHeight="1" s="44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/>
      <c r="Z981" s="17" t="n"/>
      <c r="AA981" s="17" t="n"/>
      <c r="AB981" s="17" t="n"/>
      <c r="AC981" s="17" t="n"/>
      <c r="AD981" s="17" t="n"/>
      <c r="AE981" s="17" t="n"/>
      <c r="AF981" s="17" t="n"/>
      <c r="AG981" s="17" t="n"/>
      <c r="AH981" s="17" t="n"/>
      <c r="AI981" s="17" t="n"/>
      <c r="AJ981" s="17" t="n"/>
    </row>
    <row r="982" ht="15.75" customHeight="1" s="44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/>
      <c r="Z982" s="17" t="n"/>
      <c r="AA982" s="17" t="n"/>
      <c r="AB982" s="17" t="n"/>
      <c r="AC982" s="17" t="n"/>
      <c r="AD982" s="17" t="n"/>
      <c r="AE982" s="17" t="n"/>
      <c r="AF982" s="17" t="n"/>
      <c r="AG982" s="17" t="n"/>
      <c r="AH982" s="17" t="n"/>
      <c r="AI982" s="17" t="n"/>
      <c r="AJ982" s="17" t="n"/>
    </row>
    <row r="983" ht="15.75" customHeight="1" s="44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/>
      <c r="Z983" s="17" t="n"/>
      <c r="AA983" s="17" t="n"/>
      <c r="AB983" s="17" t="n"/>
      <c r="AC983" s="17" t="n"/>
      <c r="AD983" s="17" t="n"/>
      <c r="AE983" s="17" t="n"/>
      <c r="AF983" s="17" t="n"/>
      <c r="AG983" s="17" t="n"/>
      <c r="AH983" s="17" t="n"/>
      <c r="AI983" s="17" t="n"/>
      <c r="AJ983" s="17" t="n"/>
    </row>
    <row r="984" ht="15.75" customHeight="1" s="4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/>
      <c r="Z984" s="17" t="n"/>
      <c r="AA984" s="17" t="n"/>
      <c r="AB984" s="17" t="n"/>
      <c r="AC984" s="17" t="n"/>
      <c r="AD984" s="17" t="n"/>
      <c r="AE984" s="17" t="n"/>
      <c r="AF984" s="17" t="n"/>
      <c r="AG984" s="17" t="n"/>
      <c r="AH984" s="17" t="n"/>
      <c r="AI984" s="17" t="n"/>
      <c r="AJ984" s="17" t="n"/>
    </row>
    <row r="985" ht="15.75" customHeight="1" s="44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/>
      <c r="Z985" s="17" t="n"/>
      <c r="AA985" s="17" t="n"/>
      <c r="AB985" s="17" t="n"/>
      <c r="AC985" s="17" t="n"/>
      <c r="AD985" s="17" t="n"/>
      <c r="AE985" s="17" t="n"/>
      <c r="AF985" s="17" t="n"/>
      <c r="AG985" s="17" t="n"/>
      <c r="AH985" s="17" t="n"/>
      <c r="AI985" s="17" t="n"/>
      <c r="AJ985" s="17" t="n"/>
    </row>
    <row r="986" ht="15.75" customHeight="1" s="44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/>
      <c r="Z986" s="17" t="n"/>
      <c r="AA986" s="17" t="n"/>
      <c r="AB986" s="17" t="n"/>
      <c r="AC986" s="17" t="n"/>
      <c r="AD986" s="17" t="n"/>
      <c r="AE986" s="17" t="n"/>
      <c r="AF986" s="17" t="n"/>
      <c r="AG986" s="17" t="n"/>
      <c r="AH986" s="17" t="n"/>
      <c r="AI986" s="17" t="n"/>
      <c r="AJ986" s="17" t="n"/>
    </row>
    <row r="987" ht="15.75" customHeight="1" s="44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7" t="n"/>
      <c r="Z987" s="17" t="n"/>
      <c r="AA987" s="17" t="n"/>
      <c r="AB987" s="17" t="n"/>
      <c r="AC987" s="17" t="n"/>
      <c r="AD987" s="17" t="n"/>
      <c r="AE987" s="17" t="n"/>
      <c r="AF987" s="17" t="n"/>
      <c r="AG987" s="17" t="n"/>
      <c r="AH987" s="17" t="n"/>
      <c r="AI987" s="17" t="n"/>
      <c r="AJ987" s="17" t="n"/>
    </row>
    <row r="988" ht="15.75" customHeight="1" s="44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/>
      <c r="Z988" s="17" t="n"/>
      <c r="AA988" s="17" t="n"/>
      <c r="AB988" s="17" t="n"/>
      <c r="AC988" s="17" t="n"/>
      <c r="AD988" s="17" t="n"/>
      <c r="AE988" s="17" t="n"/>
      <c r="AF988" s="17" t="n"/>
      <c r="AG988" s="17" t="n"/>
      <c r="AH988" s="17" t="n"/>
      <c r="AI988" s="17" t="n"/>
      <c r="AJ988" s="17" t="n"/>
    </row>
    <row r="989" ht="15.75" customHeight="1" s="44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/>
      <c r="Z989" s="17" t="n"/>
      <c r="AA989" s="17" t="n"/>
      <c r="AB989" s="17" t="n"/>
      <c r="AC989" s="17" t="n"/>
      <c r="AD989" s="17" t="n"/>
      <c r="AE989" s="17" t="n"/>
      <c r="AF989" s="17" t="n"/>
      <c r="AG989" s="17" t="n"/>
      <c r="AH989" s="17" t="n"/>
      <c r="AI989" s="17" t="n"/>
      <c r="AJ989" s="17" t="n"/>
    </row>
    <row r="990" ht="15.75" customHeight="1" s="44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/>
      <c r="Z990" s="17" t="n"/>
      <c r="AA990" s="17" t="n"/>
      <c r="AB990" s="17" t="n"/>
      <c r="AC990" s="17" t="n"/>
      <c r="AD990" s="17" t="n"/>
      <c r="AE990" s="17" t="n"/>
      <c r="AF990" s="17" t="n"/>
      <c r="AG990" s="17" t="n"/>
      <c r="AH990" s="17" t="n"/>
      <c r="AI990" s="17" t="n"/>
      <c r="AJ990" s="17" t="n"/>
    </row>
  </sheetData>
  <mergeCells count="3">
    <mergeCell ref="A31:H31"/>
    <mergeCell ref="A16:H16"/>
    <mergeCell ref="A1:H1"/>
  </mergeCells>
  <conditionalFormatting sqref="A11:G11 A26:H26 I54:AJ54">
    <cfRule type="notContainsBlanks" priority="1" dxfId="4">
      <formula>LEN(TRIM(A11))&gt;0</formula>
    </cfRule>
  </conditionalFormatting>
  <pageMargins left="0.75" right="0.75" top="1" bottom="1" header="0" footer="0"/>
  <pageSetup orientation="landscape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6.43" customWidth="1" style="44" min="2" max="2"/>
    <col width="24" customWidth="1" style="44" min="3" max="3"/>
    <col width="21.14" customWidth="1" style="44" min="4" max="4"/>
    <col width="29" customWidth="1" style="44" min="5" max="5"/>
    <col width="27.43" customWidth="1" style="44" min="6" max="6"/>
  </cols>
  <sheetData>
    <row r="1">
      <c r="A1" s="6">
        <f>IFERROR(__xludf.DUMMYFUNCTION("VSTACK(
'Team Alpha'!A1:F1,
FILTER('Team Alpha'!A2:F1000,'Team Alpha'!C2:C1000&lt;&gt;""""),
FILTER('Team Beta'!A2:F1000,'Team Beta'!C2:C1000&lt;&gt;""""),
FILTER('Team Gamma'!A2:F1000,'Team Gamma'!C2:C1000&lt;&gt;""""),
FILTER('Team Delta'!A2:F1000,'Team Delta'!C2:C1000&lt;&gt;"&amp;"""""),
FILTER('Team Epsilon'!A2:F1000,'Team Epsilon'!C2:C1000&lt;&gt;"""")
)"),"Team")</f>
        <v/>
      </c>
      <c r="B1" s="21">
        <f>IFERROR(__xludf.DUMMYFUNCTION("""COMPUTED_VALUE"""),"Task Type")</f>
        <v/>
      </c>
      <c r="C1" s="21">
        <f>IFERROR(__xludf.DUMMYFUNCTION("""COMPUTED_VALUE"""),"Task ID")</f>
        <v/>
      </c>
      <c r="D1" s="21">
        <f>IFERROR(__xludf.DUMMYFUNCTION("""COMPUTED_VALUE"""),"Created Date")</f>
        <v/>
      </c>
      <c r="E1" s="21">
        <f>IFERROR(__xludf.DUMMYFUNCTION("""COMPUTED_VALUE"""),"Completed Date")</f>
        <v/>
      </c>
      <c r="F1" s="22">
        <f>IFERROR(__xludf.DUMMYFUNCTION("""COMPUTED_VALUE"""),"SLA Breached")</f>
        <v/>
      </c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</row>
    <row r="2">
      <c r="A2" s="34">
        <f>IFERROR(__xludf.DUMMYFUNCTION("""COMPUTED_VALUE"""),"Team Alpha")</f>
        <v/>
      </c>
      <c r="B2" s="34">
        <f>IFERROR(__xludf.DUMMYFUNCTION("""COMPUTED_VALUE"""),"Quality Review")</f>
        <v/>
      </c>
      <c r="C2" s="34">
        <f>IFERROR(__xludf.DUMMYFUNCTION("""COMPUTED_VALUE"""),"TASK-2001")</f>
        <v/>
      </c>
      <c r="D2" s="35">
        <f>IFERROR(__xludf.DUMMYFUNCTION("""COMPUTED_VALUE"""),46200.90347222222)</f>
        <v/>
      </c>
      <c r="E2" s="35">
        <f>IFERROR(__xludf.DUMMYFUNCTION("""COMPUTED_VALUE"""),46202.57013888889)</f>
        <v/>
      </c>
      <c r="F2" s="36">
        <f>IFERROR(__xludf.DUMMYFUNCTION("""COMPUTED_VALUE"""),"N/A")</f>
        <v/>
      </c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7" t="n"/>
      <c r="Y2" s="17" t="n"/>
      <c r="Z2" s="17" t="n"/>
    </row>
    <row r="3">
      <c r="A3" s="30">
        <f>IFERROR(__xludf.DUMMYFUNCTION("""COMPUTED_VALUE"""),"Team Alpha")</f>
        <v/>
      </c>
      <c r="B3" s="30">
        <f>IFERROR(__xludf.DUMMYFUNCTION("""COMPUTED_VALUE"""),"Complex Case Review")</f>
        <v/>
      </c>
      <c r="C3" s="30">
        <f>IFERROR(__xludf.DUMMYFUNCTION("""COMPUTED_VALUE"""),"TASK-2003")</f>
        <v/>
      </c>
      <c r="D3" s="37">
        <f>IFERROR(__xludf.DUMMYFUNCTION("""COMPUTED_VALUE"""),46201.61944444444)</f>
        <v/>
      </c>
      <c r="E3" s="37">
        <f>IFERROR(__xludf.DUMMYFUNCTION("""COMPUTED_VALUE"""),46203.66111111111)</f>
        <v/>
      </c>
      <c r="F3" s="38">
        <f>IFERROR(__xludf.DUMMYFUNCTION("""COMPUTED_VALUE"""),"N/A")</f>
        <v/>
      </c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</row>
    <row r="4">
      <c r="A4" s="34">
        <f>IFERROR(__xludf.DUMMYFUNCTION("""COMPUTED_VALUE"""),"Team Alpha")</f>
        <v/>
      </c>
      <c r="B4" s="34">
        <f>IFERROR(__xludf.DUMMYFUNCTION("""COMPUTED_VALUE"""),"Process Exception Investigation")</f>
        <v/>
      </c>
      <c r="C4" s="34">
        <f>IFERROR(__xludf.DUMMYFUNCTION("""COMPUTED_VALUE"""),"TASK-2005")</f>
        <v/>
      </c>
      <c r="D4" s="35">
        <f>IFERROR(__xludf.DUMMYFUNCTION("""COMPUTED_VALUE"""),46201.96041666667)</f>
        <v/>
      </c>
      <c r="E4" s="35">
        <f>IFERROR(__xludf.DUMMYFUNCTION("""COMPUTED_VALUE"""),46204.37708333333)</f>
        <v/>
      </c>
      <c r="F4" s="36">
        <f>IFERROR(__xludf.DUMMYFUNCTION("""COMPUTED_VALUE"""),"N/A")</f>
        <v/>
      </c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</row>
    <row r="5">
      <c r="A5" s="30">
        <f>IFERROR(__xludf.DUMMYFUNCTION("""COMPUTED_VALUE"""),"Team Alpha")</f>
        <v/>
      </c>
      <c r="B5" s="30">
        <f>IFERROR(__xludf.DUMMYFUNCTION("""COMPUTED_VALUE"""),"Priority Escalation Review")</f>
        <v/>
      </c>
      <c r="C5" s="30">
        <f>IFERROR(__xludf.DUMMYFUNCTION("""COMPUTED_VALUE"""),"TASK-2006")</f>
        <v/>
      </c>
      <c r="D5" s="37">
        <f>IFERROR(__xludf.DUMMYFUNCTION("""COMPUTED_VALUE"""),46202.67638888889)</f>
        <v/>
      </c>
      <c r="E5" s="37">
        <f>IFERROR(__xludf.DUMMYFUNCTION("""COMPUTED_VALUE"""),46205.46805555555)</f>
        <v/>
      </c>
      <c r="F5" s="36">
        <f>IFERROR(__xludf.DUMMYFUNCTION("""COMPUTED_VALUE"""),"Yes")</f>
        <v/>
      </c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</row>
    <row r="6">
      <c r="A6" s="34">
        <f>IFERROR(__xludf.DUMMYFUNCTION("""COMPUTED_VALUE"""),"Team Alpha")</f>
        <v/>
      </c>
      <c r="B6" s="34">
        <f>IFERROR(__xludf.DUMMYFUNCTION("""COMPUTED_VALUE"""),"Quality Review")</f>
        <v/>
      </c>
      <c r="C6" s="34">
        <f>IFERROR(__xludf.DUMMYFUNCTION("""COMPUTED_VALUE"""),"TASK-2002")</f>
        <v/>
      </c>
      <c r="D6" s="35">
        <f>IFERROR(__xludf.DUMMYFUNCTION("""COMPUTED_VALUE"""),46203.6625)</f>
        <v/>
      </c>
      <c r="E6" s="35">
        <f>IFERROR(__xludf.DUMMYFUNCTION("""COMPUTED_VALUE"""),46205.62083333333)</f>
        <v/>
      </c>
      <c r="F6" s="36">
        <f>IFERROR(__xludf.DUMMYFUNCTION("""COMPUTED_VALUE"""),"N/A")</f>
        <v/>
      </c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</row>
    <row r="7">
      <c r="A7" s="30">
        <f>IFERROR(__xludf.DUMMYFUNCTION("""COMPUTED_VALUE"""),"Team Alpha")</f>
        <v/>
      </c>
      <c r="B7" s="30">
        <f>IFERROR(__xludf.DUMMYFUNCTION("""COMPUTED_VALUE"""),"Complex Case Review")</f>
        <v/>
      </c>
      <c r="C7" s="30">
        <f>IFERROR(__xludf.DUMMYFUNCTION("""COMPUTED_VALUE"""),"TASK-2004")</f>
        <v/>
      </c>
      <c r="D7" s="37">
        <f>IFERROR(__xludf.DUMMYFUNCTION("""COMPUTED_VALUE"""),46204.33680555555)</f>
        <v/>
      </c>
      <c r="E7" s="37">
        <f>IFERROR(__xludf.DUMMYFUNCTION("""COMPUTED_VALUE"""),46206.67013888889)</f>
        <v/>
      </c>
      <c r="F7" s="36">
        <f>IFERROR(__xludf.DUMMYFUNCTION("""COMPUTED_VALUE"""),"N/A")</f>
        <v/>
      </c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</row>
    <row r="8">
      <c r="A8" s="34">
        <f>IFERROR(__xludf.DUMMYFUNCTION("""COMPUTED_VALUE"""),"Team Alpha")</f>
        <v/>
      </c>
      <c r="B8" s="34">
        <f>IFERROR(__xludf.DUMMYFUNCTION("""COMPUTED_VALUE"""),"Priority Escalation Review")</f>
        <v/>
      </c>
      <c r="C8" s="34">
        <f>IFERROR(__xludf.DUMMYFUNCTION("""COMPUTED_VALUE"""),"TASK-2007")</f>
        <v/>
      </c>
      <c r="D8" s="35">
        <f>IFERROR(__xludf.DUMMYFUNCTION("""COMPUTED_VALUE"""),46207.68541666667)</f>
        <v/>
      </c>
      <c r="E8" s="35">
        <f>IFERROR(__xludf.DUMMYFUNCTION("""COMPUTED_VALUE"""),46208.51875)</f>
        <v/>
      </c>
      <c r="F8" s="38">
        <f>IFERROR(__xludf.DUMMYFUNCTION("""COMPUTED_VALUE"""),"No")</f>
        <v/>
      </c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</row>
    <row r="9">
      <c r="A9" s="30">
        <f>IFERROR(__xludf.DUMMYFUNCTION("""COMPUTED_VALUE"""),"Team Alpha")</f>
        <v/>
      </c>
      <c r="B9" s="30">
        <f>IFERROR(__xludf.DUMMYFUNCTION("""COMPUTED_VALUE"""),"Priority Escalation Review")</f>
        <v/>
      </c>
      <c r="C9" s="30">
        <f>IFERROR(__xludf.DUMMYFUNCTION("""COMPUTED_VALUE"""),"TASK-2055")</f>
        <v/>
      </c>
      <c r="D9" s="37">
        <f>IFERROR(__xludf.DUMMYFUNCTION("""COMPUTED_VALUE"""),46208.64444444444)</f>
        <v/>
      </c>
      <c r="E9" s="37">
        <f>IFERROR(__xludf.DUMMYFUNCTION("""COMPUTED_VALUE"""),46209.51944444444)</f>
        <v/>
      </c>
      <c r="F9" s="36">
        <f>IFERROR(__xludf.DUMMYFUNCTION("""COMPUTED_VALUE"""),"No")</f>
        <v/>
      </c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</row>
    <row r="10">
      <c r="A10" s="34">
        <f>IFERROR(__xludf.DUMMYFUNCTION("""COMPUTED_VALUE"""),"Team Alpha")</f>
        <v/>
      </c>
      <c r="B10" s="34">
        <f>IFERROR(__xludf.DUMMYFUNCTION("""COMPUTED_VALUE"""),"Quality Review")</f>
        <v/>
      </c>
      <c r="C10" s="34">
        <f>IFERROR(__xludf.DUMMYFUNCTION("""COMPUTED_VALUE"""),"TASK-2047")</f>
        <v/>
      </c>
      <c r="D10" s="35">
        <f>IFERROR(__xludf.DUMMYFUNCTION("""COMPUTED_VALUE"""),46207.33888888889)</f>
        <v/>
      </c>
      <c r="E10" s="35">
        <f>IFERROR(__xludf.DUMMYFUNCTION("""COMPUTED_VALUE"""),46209.63055555556)</f>
        <v/>
      </c>
      <c r="F10" s="36">
        <f>IFERROR(__xludf.DUMMYFUNCTION("""COMPUTED_VALUE"""),"N/A")</f>
        <v/>
      </c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</row>
    <row r="11">
      <c r="A11" s="30">
        <f>IFERROR(__xludf.DUMMYFUNCTION("""COMPUTED_VALUE"""),"Team Alpha")</f>
        <v/>
      </c>
      <c r="B11" s="30">
        <f>IFERROR(__xludf.DUMMYFUNCTION("""COMPUTED_VALUE"""),"Complex Case Review")</f>
        <v/>
      </c>
      <c r="C11" s="30">
        <f>IFERROR(__xludf.DUMMYFUNCTION("""COMPUTED_VALUE"""),"TASK-2050")</f>
        <v/>
      </c>
      <c r="D11" s="37">
        <f>IFERROR(__xludf.DUMMYFUNCTION("""COMPUTED_VALUE"""),46207.72152777778)</f>
        <v/>
      </c>
      <c r="E11" s="37">
        <f>IFERROR(__xludf.DUMMYFUNCTION("""COMPUTED_VALUE"""),46210.38819444444)</f>
        <v/>
      </c>
      <c r="F11" s="38">
        <f>IFERROR(__xludf.DUMMYFUNCTION("""COMPUTED_VALUE"""),"N/A")</f>
        <v/>
      </c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</row>
    <row r="12">
      <c r="A12" s="34">
        <f>IFERROR(__xludf.DUMMYFUNCTION("""COMPUTED_VALUE"""),"Team Alpha")</f>
        <v/>
      </c>
      <c r="B12" s="34">
        <f>IFERROR(__xludf.DUMMYFUNCTION("""COMPUTED_VALUE"""),"Quality Review")</f>
        <v/>
      </c>
      <c r="C12" s="34">
        <f>IFERROR(__xludf.DUMMYFUNCTION("""COMPUTED_VALUE"""),"TASK-2045")</f>
        <v/>
      </c>
      <c r="D12" s="35">
        <f>IFERROR(__xludf.DUMMYFUNCTION("""COMPUTED_VALUE"""),46208.8625)</f>
        <v/>
      </c>
      <c r="E12" s="35">
        <f>IFERROR(__xludf.DUMMYFUNCTION("""COMPUTED_VALUE"""),46210.57083333333)</f>
        <v/>
      </c>
      <c r="F12" s="36">
        <f>IFERROR(__xludf.DUMMYFUNCTION("""COMPUTED_VALUE"""),"N/A")</f>
        <v/>
      </c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</row>
    <row r="13">
      <c r="A13" s="30">
        <f>IFERROR(__xludf.DUMMYFUNCTION("""COMPUTED_VALUE"""),"Team Alpha")</f>
        <v/>
      </c>
      <c r="B13" s="30">
        <f>IFERROR(__xludf.DUMMYFUNCTION("""COMPUTED_VALUE"""),"Process Exception Investigation")</f>
        <v/>
      </c>
      <c r="C13" s="30">
        <f>IFERROR(__xludf.DUMMYFUNCTION("""COMPUTED_VALUE"""),"TASK-2053")</f>
        <v/>
      </c>
      <c r="D13" s="37">
        <f>IFERROR(__xludf.DUMMYFUNCTION("""COMPUTED_VALUE"""),46210.6875)</f>
        <v/>
      </c>
      <c r="E13" s="37">
        <f>IFERROR(__xludf.DUMMYFUNCTION("""COMPUTED_VALUE"""),46211.47916666666)</f>
        <v/>
      </c>
      <c r="F13" s="38">
        <f>IFERROR(__xludf.DUMMYFUNCTION("""COMPUTED_VALUE"""),"N/A")</f>
        <v/>
      </c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</row>
    <row r="14">
      <c r="A14" s="34">
        <f>IFERROR(__xludf.DUMMYFUNCTION("""COMPUTED_VALUE"""),"Team Alpha")</f>
        <v/>
      </c>
      <c r="B14" s="34">
        <f>IFERROR(__xludf.DUMMYFUNCTION("""COMPUTED_VALUE"""),"Complex Case Review")</f>
        <v/>
      </c>
      <c r="C14" s="34">
        <f>IFERROR(__xludf.DUMMYFUNCTION("""COMPUTED_VALUE"""),"TASK-2048")</f>
        <v/>
      </c>
      <c r="D14" s="35">
        <f>IFERROR(__xludf.DUMMYFUNCTION("""COMPUTED_VALUE"""),46209.57847222222)</f>
        <v/>
      </c>
      <c r="E14" s="35">
        <f>IFERROR(__xludf.DUMMYFUNCTION("""COMPUTED_VALUE"""),46211.66180555556)</f>
        <v/>
      </c>
      <c r="F14" s="36">
        <f>IFERROR(__xludf.DUMMYFUNCTION("""COMPUTED_VALUE"""),"N/A")</f>
        <v/>
      </c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</row>
    <row r="15">
      <c r="A15" s="30">
        <f>IFERROR(__xludf.DUMMYFUNCTION("""COMPUTED_VALUE"""),"Team Alpha")</f>
        <v/>
      </c>
      <c r="B15" s="30">
        <f>IFERROR(__xludf.DUMMYFUNCTION("""COMPUTED_VALUE"""),"Process Exception Investigation")</f>
        <v/>
      </c>
      <c r="C15" s="30">
        <f>IFERROR(__xludf.DUMMYFUNCTION("""COMPUTED_VALUE"""),"TASK-2051")</f>
        <v/>
      </c>
      <c r="D15" s="37">
        <f>IFERROR(__xludf.DUMMYFUNCTION("""COMPUTED_VALUE"""),46209.91944444444)</f>
        <v/>
      </c>
      <c r="E15" s="37">
        <f>IFERROR(__xludf.DUMMYFUNCTION("""COMPUTED_VALUE"""),46212.37777777778)</f>
        <v/>
      </c>
      <c r="F15" s="36">
        <f>IFERROR(__xludf.DUMMYFUNCTION("""COMPUTED_VALUE"""),"N/A")</f>
        <v/>
      </c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</row>
    <row r="16">
      <c r="A16" s="34">
        <f>IFERROR(__xludf.DUMMYFUNCTION("""COMPUTED_VALUE"""),"Team Alpha")</f>
        <v/>
      </c>
      <c r="B16" s="34">
        <f>IFERROR(__xludf.DUMMYFUNCTION("""COMPUTED_VALUE"""),"Priority Escalation Review")</f>
        <v/>
      </c>
      <c r="C16" s="34">
        <f>IFERROR(__xludf.DUMMYFUNCTION("""COMPUTED_VALUE"""),"TASK-2056")</f>
        <v/>
      </c>
      <c r="D16" s="35">
        <f>IFERROR(__xludf.DUMMYFUNCTION("""COMPUTED_VALUE"""),46211.40347222222)</f>
        <v/>
      </c>
      <c r="E16" s="35">
        <f>IFERROR(__xludf.DUMMYFUNCTION("""COMPUTED_VALUE"""),46212.57013888889)</f>
        <v/>
      </c>
      <c r="F16" s="36">
        <f>IFERROR(__xludf.DUMMYFUNCTION("""COMPUTED_VALUE"""),"No")</f>
        <v/>
      </c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</row>
    <row r="17">
      <c r="A17" s="30">
        <f>IFERROR(__xludf.DUMMYFUNCTION("""COMPUTED_VALUE"""),"Team Alpha")</f>
        <v/>
      </c>
      <c r="B17" s="30">
        <f>IFERROR(__xludf.DUMMYFUNCTION("""COMPUTED_VALUE"""),"Priority Escalation Review")</f>
        <v/>
      </c>
      <c r="C17" s="30">
        <f>IFERROR(__xludf.DUMMYFUNCTION("""COMPUTED_VALUE"""),"TASK-2054")</f>
        <v/>
      </c>
      <c r="D17" s="37">
        <f>IFERROR(__xludf.DUMMYFUNCTION("""COMPUTED_VALUE"""),46210.63541666666)</f>
        <v/>
      </c>
      <c r="E17" s="37">
        <f>IFERROR(__xludf.DUMMYFUNCTION("""COMPUTED_VALUE"""),46213.46875)</f>
        <v/>
      </c>
      <c r="F17" s="36">
        <f>IFERROR(__xludf.DUMMYFUNCTION("""COMPUTED_VALUE"""),"Yes")</f>
        <v/>
      </c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</row>
    <row r="18">
      <c r="A18" s="34">
        <f>IFERROR(__xludf.DUMMYFUNCTION("""COMPUTED_VALUE"""),"Team Alpha")</f>
        <v/>
      </c>
      <c r="B18" s="34">
        <f>IFERROR(__xludf.DUMMYFUNCTION("""COMPUTED_VALUE"""),"Quality Review")</f>
        <v/>
      </c>
      <c r="C18" s="34">
        <f>IFERROR(__xludf.DUMMYFUNCTION("""COMPUTED_VALUE"""),"TASK-2046")</f>
        <v/>
      </c>
      <c r="D18" s="35">
        <f>IFERROR(__xludf.DUMMYFUNCTION("""COMPUTED_VALUE"""),46211.62152777778)</f>
        <v/>
      </c>
      <c r="E18" s="35">
        <f>IFERROR(__xludf.DUMMYFUNCTION("""COMPUTED_VALUE"""),46213.62152777778)</f>
        <v/>
      </c>
      <c r="F18" s="38">
        <f>IFERROR(__xludf.DUMMYFUNCTION("""COMPUTED_VALUE"""),"N/A")</f>
        <v/>
      </c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</row>
    <row r="19">
      <c r="A19" s="30">
        <f>IFERROR(__xludf.DUMMYFUNCTION("""COMPUTED_VALUE"""),"Team Alpha")</f>
        <v/>
      </c>
      <c r="B19" s="30">
        <f>IFERROR(__xludf.DUMMYFUNCTION("""COMPUTED_VALUE"""),"Complex Case Review")</f>
        <v/>
      </c>
      <c r="C19" s="30">
        <f>IFERROR(__xludf.DUMMYFUNCTION("""COMPUTED_VALUE"""),"TASK-2049")</f>
        <v/>
      </c>
      <c r="D19" s="37">
        <f>IFERROR(__xludf.DUMMYFUNCTION("""COMPUTED_VALUE"""),46212.29583333333)</f>
        <v/>
      </c>
      <c r="E19" s="37">
        <f>IFERROR(__xludf.DUMMYFUNCTION("""COMPUTED_VALUE"""),46214.67083333333)</f>
        <v/>
      </c>
      <c r="F19" s="36">
        <f>IFERROR(__xludf.DUMMYFUNCTION("""COMPUTED_VALUE"""),"N/A")</f>
        <v/>
      </c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</row>
    <row r="20">
      <c r="A20" s="34">
        <f>IFERROR(__xludf.DUMMYFUNCTION("""COMPUTED_VALUE"""),"Team Alpha")</f>
        <v/>
      </c>
      <c r="B20" s="34">
        <f>IFERROR(__xludf.DUMMYFUNCTION("""COMPUTED_VALUE"""),"Process Exception Investigation")</f>
        <v/>
      </c>
      <c r="C20" s="34">
        <f>IFERROR(__xludf.DUMMYFUNCTION("""COMPUTED_VALUE"""),"TASK-2052")</f>
        <v/>
      </c>
      <c r="D20" s="35">
        <f>IFERROR(__xludf.DUMMYFUNCTION("""COMPUTED_VALUE"""),46212.67847222222)</f>
        <v/>
      </c>
      <c r="E20" s="35">
        <f>IFERROR(__xludf.DUMMYFUNCTION("""COMPUTED_VALUE"""),46215.42847222222)</f>
        <v/>
      </c>
      <c r="F20" s="36">
        <f>IFERROR(__xludf.DUMMYFUNCTION("""COMPUTED_VALUE"""),"N/A")</f>
        <v/>
      </c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</row>
    <row r="21">
      <c r="A21" s="30">
        <f>IFERROR(__xludf.DUMMYFUNCTION("""COMPUTED_VALUE"""),"Team Beta")</f>
        <v/>
      </c>
      <c r="B21" s="30">
        <f>IFERROR(__xludf.DUMMYFUNCTION("""COMPUTED_VALUE"""),"Process Exception Investigation")</f>
        <v/>
      </c>
      <c r="C21" s="30">
        <f>IFERROR(__xludf.DUMMYFUNCTION("""COMPUTED_VALUE"""),"TASK-2012")</f>
        <v/>
      </c>
      <c r="D21" s="37">
        <f>IFERROR(__xludf.DUMMYFUNCTION("""COMPUTED_VALUE"""),46199.55902777778)</f>
        <v/>
      </c>
      <c r="E21" s="37">
        <f>IFERROR(__xludf.DUMMYFUNCTION("""COMPUTED_VALUE"""),46202.47569444445)</f>
        <v/>
      </c>
      <c r="F21" s="38">
        <f>IFERROR(__xludf.DUMMYFUNCTION("""COMPUTED_VALUE"""),"N/A")</f>
        <v/>
      </c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</row>
    <row r="22">
      <c r="A22" s="34">
        <f>IFERROR(__xludf.DUMMYFUNCTION("""COMPUTED_VALUE"""),"Team Beta")</f>
        <v/>
      </c>
      <c r="B22" s="34">
        <f>IFERROR(__xludf.DUMMYFUNCTION("""COMPUTED_VALUE"""),"Priority Escalation Review")</f>
        <v/>
      </c>
      <c r="C22" s="34">
        <f>IFERROR(__xludf.DUMMYFUNCTION("""COMPUTED_VALUE"""),"TASK-2014")</f>
        <v/>
      </c>
      <c r="D22" s="35">
        <f>IFERROR(__xludf.DUMMYFUNCTION("""COMPUTED_VALUE"""),46202.525)</f>
        <v/>
      </c>
      <c r="E22" s="35">
        <f>IFERROR(__xludf.DUMMYFUNCTION("""COMPUTED_VALUE"""),46203.56666666667)</f>
        <v/>
      </c>
      <c r="F22" s="38">
        <f>IFERROR(__xludf.DUMMYFUNCTION("""COMPUTED_VALUE"""),"No")</f>
        <v/>
      </c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</row>
    <row r="23">
      <c r="A23" s="30">
        <f>IFERROR(__xludf.DUMMYFUNCTION("""COMPUTED_VALUE"""),"Team Beta")</f>
        <v/>
      </c>
      <c r="B23" s="30">
        <f>IFERROR(__xludf.DUMMYFUNCTION("""COMPUTED_VALUE"""),"Quality Review")</f>
        <v/>
      </c>
      <c r="C23" s="30">
        <f>IFERROR(__xludf.DUMMYFUNCTION("""COMPUTED_VALUE"""),"TASK-2008")</f>
        <v/>
      </c>
      <c r="D23" s="37">
        <f>IFERROR(__xludf.DUMMYFUNCTION("""COMPUTED_VALUE"""),46202.74305555555)</f>
        <v/>
      </c>
      <c r="E23" s="37">
        <f>IFERROR(__xludf.DUMMYFUNCTION("""COMPUTED_VALUE"""),46204.61805555555)</f>
        <v/>
      </c>
      <c r="F23" s="38">
        <f>IFERROR(__xludf.DUMMYFUNCTION("""COMPUTED_VALUE"""),"N/A")</f>
        <v/>
      </c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</row>
    <row r="24">
      <c r="A24" s="34">
        <f>IFERROR(__xludf.DUMMYFUNCTION("""COMPUTED_VALUE"""),"Team Beta")</f>
        <v/>
      </c>
      <c r="B24" s="34">
        <f>IFERROR(__xludf.DUMMYFUNCTION("""COMPUTED_VALUE"""),"Complex Case Review")</f>
        <v/>
      </c>
      <c r="C24" s="34">
        <f>IFERROR(__xludf.DUMMYFUNCTION("""COMPUTED_VALUE"""),"TASK-2010")</f>
        <v/>
      </c>
      <c r="D24" s="35">
        <f>IFERROR(__xludf.DUMMYFUNCTION("""COMPUTED_VALUE"""),46203.41736111111)</f>
        <v/>
      </c>
      <c r="E24" s="35">
        <f>IFERROR(__xludf.DUMMYFUNCTION("""COMPUTED_VALUE"""),46205.66736111111)</f>
        <v/>
      </c>
      <c r="F24" s="36">
        <f>IFERROR(__xludf.DUMMYFUNCTION("""COMPUTED_VALUE"""),"N/A")</f>
        <v/>
      </c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</row>
    <row r="25">
      <c r="A25" s="30">
        <f>IFERROR(__xludf.DUMMYFUNCTION("""COMPUTED_VALUE"""),"Team Beta")</f>
        <v/>
      </c>
      <c r="B25" s="30">
        <f>IFERROR(__xludf.DUMMYFUNCTION("""COMPUTED_VALUE"""),"Process Exception Investigation")</f>
        <v/>
      </c>
      <c r="C25" s="30">
        <f>IFERROR(__xludf.DUMMYFUNCTION("""COMPUTED_VALUE"""),"TASK-2011")</f>
        <v/>
      </c>
      <c r="D25" s="37">
        <f>IFERROR(__xludf.DUMMYFUNCTION("""COMPUTED_VALUE"""),46203.8)</f>
        <v/>
      </c>
      <c r="E25" s="37">
        <f>IFERROR(__xludf.DUMMYFUNCTION("""COMPUTED_VALUE"""),46206.425)</f>
        <v/>
      </c>
      <c r="F25" s="36">
        <f>IFERROR(__xludf.DUMMYFUNCTION("""COMPUTED_VALUE"""),"N/A")</f>
        <v/>
      </c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</row>
    <row r="26">
      <c r="A26" s="34">
        <f>IFERROR(__xludf.DUMMYFUNCTION("""COMPUTED_VALUE"""),"Team Beta")</f>
        <v/>
      </c>
      <c r="B26" s="34">
        <f>IFERROR(__xludf.DUMMYFUNCTION("""COMPUTED_VALUE"""),"Priority Escalation Review")</f>
        <v/>
      </c>
      <c r="C26" s="34">
        <f>IFERROR(__xludf.DUMMYFUNCTION("""COMPUTED_VALUE"""),"TASK-2015")</f>
        <v/>
      </c>
      <c r="D26" s="35">
        <f>IFERROR(__xludf.DUMMYFUNCTION("""COMPUTED_VALUE"""),46205.28402777778)</f>
        <v/>
      </c>
      <c r="E26" s="35">
        <f>IFERROR(__xludf.DUMMYFUNCTION("""COMPUTED_VALUE"""),46206.61736111111)</f>
        <v/>
      </c>
      <c r="F26" s="36">
        <f>IFERROR(__xludf.DUMMYFUNCTION("""COMPUTED_VALUE"""),"No")</f>
        <v/>
      </c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</row>
    <row r="27">
      <c r="A27" s="30">
        <f>IFERROR(__xludf.DUMMYFUNCTION("""COMPUTED_VALUE"""),"Team Beta")</f>
        <v/>
      </c>
      <c r="B27" s="30">
        <f>IFERROR(__xludf.DUMMYFUNCTION("""COMPUTED_VALUE"""),"Priority Escalation Review")</f>
        <v/>
      </c>
      <c r="C27" s="30">
        <f>IFERROR(__xludf.DUMMYFUNCTION("""COMPUTED_VALUE"""),"TASK-2013")</f>
        <v/>
      </c>
      <c r="D27" s="37">
        <f>IFERROR(__xludf.DUMMYFUNCTION("""COMPUTED_VALUE"""),46206.76597222222)</f>
        <v/>
      </c>
      <c r="E27" s="37">
        <f>IFERROR(__xludf.DUMMYFUNCTION("""COMPUTED_VALUE"""),46207.51597222222)</f>
        <v/>
      </c>
      <c r="F27" s="36">
        <f>IFERROR(__xludf.DUMMYFUNCTION("""COMPUTED_VALUE"""),"Yes")</f>
        <v/>
      </c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</row>
    <row r="28">
      <c r="A28" s="34">
        <f>IFERROR(__xludf.DUMMYFUNCTION("""COMPUTED_VALUE"""),"Team Beta")</f>
        <v/>
      </c>
      <c r="B28" s="34">
        <f>IFERROR(__xludf.DUMMYFUNCTION("""COMPUTED_VALUE"""),"Quality Review")</f>
        <v/>
      </c>
      <c r="C28" s="34">
        <f>IFERROR(__xludf.DUMMYFUNCTION("""COMPUTED_VALUE"""),"TASK-2009")</f>
        <v/>
      </c>
      <c r="D28" s="35">
        <f>IFERROR(__xludf.DUMMYFUNCTION("""COMPUTED_VALUE"""),46205.46041666667)</f>
        <v/>
      </c>
      <c r="E28" s="35">
        <f>IFERROR(__xludf.DUMMYFUNCTION("""COMPUTED_VALUE"""),46207.62708333333)</f>
        <v/>
      </c>
      <c r="F28" s="36">
        <f>IFERROR(__xludf.DUMMYFUNCTION("""COMPUTED_VALUE"""),"N/A")</f>
        <v/>
      </c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</row>
    <row r="29">
      <c r="A29" s="30">
        <f>IFERROR(__xludf.DUMMYFUNCTION("""COMPUTED_VALUE"""),"Team Beta")</f>
        <v/>
      </c>
      <c r="B29" s="30">
        <f>IFERROR(__xludf.DUMMYFUNCTION("""COMPUTED_VALUE"""),"Complex Case Review")</f>
        <v/>
      </c>
      <c r="C29" s="30">
        <f>IFERROR(__xludf.DUMMYFUNCTION("""COMPUTED_VALUE"""),"TASK-2061")</f>
        <v/>
      </c>
      <c r="D29" s="37">
        <f>IFERROR(__xludf.DUMMYFUNCTION("""COMPUTED_VALUE"""),46206.80208333334)</f>
        <v/>
      </c>
      <c r="E29" s="37">
        <f>IFERROR(__xludf.DUMMYFUNCTION("""COMPUTED_VALUE"""),46209.38541666666)</f>
        <v/>
      </c>
      <c r="F29" s="38">
        <f>IFERROR(__xludf.DUMMYFUNCTION("""COMPUTED_VALUE"""),"N/A")</f>
        <v/>
      </c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</row>
    <row r="30">
      <c r="A30" s="34">
        <f>IFERROR(__xludf.DUMMYFUNCTION("""COMPUTED_VALUE"""),"Team Beta")</f>
        <v/>
      </c>
      <c r="B30" s="34">
        <f>IFERROR(__xludf.DUMMYFUNCTION("""COMPUTED_VALUE"""),"Process Exception Investigation")</f>
        <v/>
      </c>
      <c r="C30" s="34">
        <f>IFERROR(__xludf.DUMMYFUNCTION("""COMPUTED_VALUE"""),"TASK-2063")</f>
        <v/>
      </c>
      <c r="D30" s="35">
        <f>IFERROR(__xludf.DUMMYFUNCTION("""COMPUTED_VALUE"""),46207.51805555556)</f>
        <v/>
      </c>
      <c r="E30" s="35">
        <f>IFERROR(__xludf.DUMMYFUNCTION("""COMPUTED_VALUE"""),46210.47638888889)</f>
        <v/>
      </c>
      <c r="F30" s="36">
        <f>IFERROR(__xludf.DUMMYFUNCTION("""COMPUTED_VALUE"""),"N/A")</f>
        <v/>
      </c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</row>
    <row r="31">
      <c r="A31" s="30">
        <f>IFERROR(__xludf.DUMMYFUNCTION("""COMPUTED_VALUE"""),"Team Beta")</f>
        <v/>
      </c>
      <c r="B31" s="30">
        <f>IFERROR(__xludf.DUMMYFUNCTION("""COMPUTED_VALUE"""),"Priority Escalation Review")</f>
        <v/>
      </c>
      <c r="C31" s="30">
        <f>IFERROR(__xludf.DUMMYFUNCTION("""COMPUTED_VALUE"""),"TASK-2067")</f>
        <v/>
      </c>
      <c r="D31" s="37">
        <f>IFERROR(__xludf.DUMMYFUNCTION("""COMPUTED_VALUE"""),46208.96041666667)</f>
        <v/>
      </c>
      <c r="E31" s="37">
        <f>IFERROR(__xludf.DUMMYFUNCTION("""COMPUTED_VALUE"""),46210.62708333333)</f>
        <v/>
      </c>
      <c r="F31" s="36">
        <f>IFERROR(__xludf.DUMMYFUNCTION("""COMPUTED_VALUE"""),"No")</f>
        <v/>
      </c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</row>
    <row r="32">
      <c r="A32" s="34">
        <f>IFERROR(__xludf.DUMMYFUNCTION("""COMPUTED_VALUE"""),"Team Beta")</f>
        <v/>
      </c>
      <c r="B32" s="34">
        <f>IFERROR(__xludf.DUMMYFUNCTION("""COMPUTED_VALUE"""),"Priority Escalation Review")</f>
        <v/>
      </c>
      <c r="C32" s="34">
        <f>IFERROR(__xludf.DUMMYFUNCTION("""COMPUTED_VALUE"""),"TASK-2065")</f>
        <v/>
      </c>
      <c r="D32" s="35">
        <f>IFERROR(__xludf.DUMMYFUNCTION("""COMPUTED_VALUE"""),46210.48402777778)</f>
        <v/>
      </c>
      <c r="E32" s="35">
        <f>IFERROR(__xludf.DUMMYFUNCTION("""COMPUTED_VALUE"""),46211.56736111111)</f>
        <v/>
      </c>
      <c r="F32" s="39">
        <f>IFERROR(__xludf.DUMMYFUNCTION("""COMPUTED_VALUE"""),"No")</f>
        <v/>
      </c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</row>
    <row r="33">
      <c r="A33" s="30">
        <f>IFERROR(__xludf.DUMMYFUNCTION("""COMPUTED_VALUE"""),"Team Beta")</f>
        <v/>
      </c>
      <c r="B33" s="30">
        <f>IFERROR(__xludf.DUMMYFUNCTION("""COMPUTED_VALUE"""),"Quality Review")</f>
        <v/>
      </c>
      <c r="C33" s="30">
        <f>IFERROR(__xludf.DUMMYFUNCTION("""COMPUTED_VALUE"""),"TASK-2059")</f>
        <v/>
      </c>
      <c r="D33" s="37">
        <f>IFERROR(__xludf.DUMMYFUNCTION("""COMPUTED_VALUE"""),46209.17847222222)</f>
        <v/>
      </c>
      <c r="E33" s="37">
        <f>IFERROR(__xludf.DUMMYFUNCTION("""COMPUTED_VALUE"""),46211.67847222222)</f>
        <v/>
      </c>
      <c r="F33" s="39">
        <f>IFERROR(__xludf.DUMMYFUNCTION("""COMPUTED_VALUE"""),"N/A")</f>
        <v/>
      </c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</row>
    <row r="34">
      <c r="A34" s="34">
        <f>IFERROR(__xludf.DUMMYFUNCTION("""COMPUTED_VALUE"""),"Team Beta")</f>
        <v/>
      </c>
      <c r="B34" s="34">
        <f>IFERROR(__xludf.DUMMYFUNCTION("""COMPUTED_VALUE"""),"Quality Review")</f>
        <v/>
      </c>
      <c r="C34" s="34">
        <f>IFERROR(__xludf.DUMMYFUNCTION("""COMPUTED_VALUE"""),"TASK-2057")</f>
        <v/>
      </c>
      <c r="D34" s="35">
        <f>IFERROR(__xludf.DUMMYFUNCTION("""COMPUTED_VALUE"""),46210.70208333333)</f>
        <v/>
      </c>
      <c r="E34" s="35">
        <f>IFERROR(__xludf.DUMMYFUNCTION("""COMPUTED_VALUE"""),46212.61875)</f>
        <v/>
      </c>
      <c r="F34" s="36">
        <f>IFERROR(__xludf.DUMMYFUNCTION("""COMPUTED_VALUE"""),"N/A")</f>
        <v/>
      </c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</row>
    <row r="35">
      <c r="A35" s="30">
        <f>IFERROR(__xludf.DUMMYFUNCTION("""COMPUTED_VALUE"""),"Team Beta")</f>
        <v/>
      </c>
      <c r="B35" s="30">
        <f>IFERROR(__xludf.DUMMYFUNCTION("""COMPUTED_VALUE"""),"Complex Case Review")</f>
        <v/>
      </c>
      <c r="C35" s="30">
        <f>IFERROR(__xludf.DUMMYFUNCTION("""COMPUTED_VALUE"""),"TASK-2060")</f>
        <v/>
      </c>
      <c r="D35" s="37">
        <f>IFERROR(__xludf.DUMMYFUNCTION("""COMPUTED_VALUE"""),46211.37638888889)</f>
        <v/>
      </c>
      <c r="E35" s="37">
        <f>IFERROR(__xludf.DUMMYFUNCTION("""COMPUTED_VALUE"""),46213.66805555556)</f>
        <v/>
      </c>
      <c r="F35" s="36">
        <f>IFERROR(__xludf.DUMMYFUNCTION("""COMPUTED_VALUE"""),"N/A")</f>
        <v/>
      </c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</row>
    <row r="36">
      <c r="A36" s="34">
        <f>IFERROR(__xludf.DUMMYFUNCTION("""COMPUTED_VALUE"""),"Team Beta")</f>
        <v/>
      </c>
      <c r="B36" s="34">
        <f>IFERROR(__xludf.DUMMYFUNCTION("""COMPUTED_VALUE"""),"Process Exception Investigation")</f>
        <v/>
      </c>
      <c r="C36" s="34">
        <f>IFERROR(__xludf.DUMMYFUNCTION("""COMPUTED_VALUE"""),"TASK-2062")</f>
        <v/>
      </c>
      <c r="D36" s="35">
        <f>IFERROR(__xludf.DUMMYFUNCTION("""COMPUTED_VALUE"""),46211.75902777778)</f>
        <v/>
      </c>
      <c r="E36" s="35">
        <f>IFERROR(__xludf.DUMMYFUNCTION("""COMPUTED_VALUE"""),46214.42569444444)</f>
        <v/>
      </c>
      <c r="F36" s="36">
        <f>IFERROR(__xludf.DUMMYFUNCTION("""COMPUTED_VALUE"""),"N/A")</f>
        <v/>
      </c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</row>
    <row r="37">
      <c r="A37" s="30">
        <f>IFERROR(__xludf.DUMMYFUNCTION("""COMPUTED_VALUE"""),"Team Beta")</f>
        <v/>
      </c>
      <c r="B37" s="30">
        <f>IFERROR(__xludf.DUMMYFUNCTION("""COMPUTED_VALUE"""),"Priority Escalation Review")</f>
        <v/>
      </c>
      <c r="C37" s="30">
        <f>IFERROR(__xludf.DUMMYFUNCTION("""COMPUTED_VALUE"""),"TASK-2066")</f>
        <v/>
      </c>
      <c r="D37" s="37">
        <f>IFERROR(__xludf.DUMMYFUNCTION("""COMPUTED_VALUE"""),46213.24305555555)</f>
        <v/>
      </c>
      <c r="E37" s="37">
        <f>IFERROR(__xludf.DUMMYFUNCTION("""COMPUTED_VALUE"""),46214.61805555555)</f>
        <v/>
      </c>
      <c r="F37" s="36">
        <f>IFERROR(__xludf.DUMMYFUNCTION("""COMPUTED_VALUE"""),"No")</f>
        <v/>
      </c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</row>
    <row r="38">
      <c r="A38" s="34">
        <f>IFERROR(__xludf.DUMMYFUNCTION("""COMPUTED_VALUE"""),"Team Beta")</f>
        <v/>
      </c>
      <c r="B38" s="34">
        <f>IFERROR(__xludf.DUMMYFUNCTION("""COMPUTED_VALUE"""),"Priority Escalation Review")</f>
        <v/>
      </c>
      <c r="C38" s="34">
        <f>IFERROR(__xludf.DUMMYFUNCTION("""COMPUTED_VALUE"""),"TASK-2064")</f>
        <v/>
      </c>
      <c r="D38" s="35">
        <f>IFERROR(__xludf.DUMMYFUNCTION("""COMPUTED_VALUE"""),46214.725)</f>
        <v/>
      </c>
      <c r="E38" s="35">
        <f>IFERROR(__xludf.DUMMYFUNCTION("""COMPUTED_VALUE"""),46215.51666666667)</f>
        <v/>
      </c>
      <c r="F38" s="36">
        <f>IFERROR(__xludf.DUMMYFUNCTION("""COMPUTED_VALUE"""),"Yes")</f>
        <v/>
      </c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</row>
    <row r="39">
      <c r="A39" s="30">
        <f>IFERROR(__xludf.DUMMYFUNCTION("""COMPUTED_VALUE"""),"Team Beta")</f>
        <v/>
      </c>
      <c r="B39" s="30">
        <f>IFERROR(__xludf.DUMMYFUNCTION("""COMPUTED_VALUE"""),"Quality Review")</f>
        <v/>
      </c>
      <c r="C39" s="30">
        <f>IFERROR(__xludf.DUMMYFUNCTION("""COMPUTED_VALUE"""),"TASK-2058")</f>
        <v/>
      </c>
      <c r="D39" s="37">
        <f>IFERROR(__xludf.DUMMYFUNCTION("""COMPUTED_VALUE"""),46213.41944444444)</f>
        <v/>
      </c>
      <c r="E39" s="37">
        <f>IFERROR(__xludf.DUMMYFUNCTION("""COMPUTED_VALUE"""),46215.62777777778)</f>
        <v/>
      </c>
      <c r="F39" s="39">
        <f>IFERROR(__xludf.DUMMYFUNCTION("""COMPUTED_VALUE"""),"N/A")</f>
        <v/>
      </c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</row>
    <row r="40">
      <c r="A40" s="34">
        <f>IFERROR(__xludf.DUMMYFUNCTION("""COMPUTED_VALUE"""),"Team Gamma")</f>
        <v/>
      </c>
      <c r="B40" s="34">
        <f>IFERROR(__xludf.DUMMYFUNCTION("""COMPUTED_VALUE"""),"Priority Escalation Review")</f>
        <v/>
      </c>
      <c r="C40" s="34">
        <f>IFERROR(__xludf.DUMMYFUNCTION("""COMPUTED_VALUE"""),"TASK-2022")</f>
        <v/>
      </c>
      <c r="D40" s="35">
        <f>IFERROR(__xludf.DUMMYFUNCTION("""COMPUTED_VALUE"""),46201.60555555556)</f>
        <v/>
      </c>
      <c r="E40" s="35">
        <f>IFERROR(__xludf.DUMMYFUNCTION("""COMPUTED_VALUE"""),46202.56388888889)</f>
        <v/>
      </c>
      <c r="F40" s="36">
        <f>IFERROR(__xludf.DUMMYFUNCTION("""COMPUTED_VALUE"""),"Yes")</f>
        <v/>
      </c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</row>
    <row r="41">
      <c r="A41" s="30">
        <f>IFERROR(__xludf.DUMMYFUNCTION("""COMPUTED_VALUE"""),"Team Gamma")</f>
        <v/>
      </c>
      <c r="B41" s="30">
        <f>IFERROR(__xludf.DUMMYFUNCTION("""COMPUTED_VALUE"""),"Quality Review")</f>
        <v/>
      </c>
      <c r="C41" s="30">
        <f>IFERROR(__xludf.DUMMYFUNCTION("""COMPUTED_VALUE"""),"TASK-2017")</f>
        <v/>
      </c>
      <c r="D41" s="37">
        <f>IFERROR(__xludf.DUMMYFUNCTION("""COMPUTED_VALUE"""),46200.3)</f>
        <v/>
      </c>
      <c r="E41" s="37">
        <f>IFERROR(__xludf.DUMMYFUNCTION("""COMPUTED_VALUE"""),46202.675)</f>
        <v/>
      </c>
      <c r="F41" s="36">
        <f>IFERROR(__xludf.DUMMYFUNCTION("""COMPUTED_VALUE"""),"N/A")</f>
        <v/>
      </c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</row>
    <row r="42">
      <c r="A42" s="34">
        <f>IFERROR(__xludf.DUMMYFUNCTION("""COMPUTED_VALUE"""),"Team Gamma")</f>
        <v/>
      </c>
      <c r="B42" s="34">
        <f>IFERROR(__xludf.DUMMYFUNCTION("""COMPUTED_VALUE"""),"Complex Case Review")</f>
        <v/>
      </c>
      <c r="C42" s="34">
        <f>IFERROR(__xludf.DUMMYFUNCTION("""COMPUTED_VALUE"""),"TASK-2019")</f>
        <v/>
      </c>
      <c r="D42" s="35">
        <f>IFERROR(__xludf.DUMMYFUNCTION("""COMPUTED_VALUE"""),46200.68263888889)</f>
        <v/>
      </c>
      <c r="E42" s="35">
        <f>IFERROR(__xludf.DUMMYFUNCTION("""COMPUTED_VALUE"""),46203.43263888889)</f>
        <v/>
      </c>
      <c r="F42" s="36">
        <f>IFERROR(__xludf.DUMMYFUNCTION("""COMPUTED_VALUE"""),"N/A")</f>
        <v/>
      </c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</row>
    <row r="43">
      <c r="A43" s="30">
        <f>IFERROR(__xludf.DUMMYFUNCTION("""COMPUTED_VALUE"""),"Team Gamma")</f>
        <v/>
      </c>
      <c r="B43" s="30">
        <f>IFERROR(__xludf.DUMMYFUNCTION("""COMPUTED_VALUE"""),"Process Exception Investigation")</f>
        <v/>
      </c>
      <c r="C43" s="30">
        <f>IFERROR(__xludf.DUMMYFUNCTION("""COMPUTED_VALUE"""),"TASK-2021")</f>
        <v/>
      </c>
      <c r="D43" s="37">
        <f>IFERROR(__xludf.DUMMYFUNCTION("""COMPUTED_VALUE"""),46203.64861111111)</f>
        <v/>
      </c>
      <c r="E43" s="37">
        <f>IFERROR(__xludf.DUMMYFUNCTION("""COMPUTED_VALUE"""),46204.52361111111)</f>
        <v/>
      </c>
      <c r="F43" s="39">
        <f>IFERROR(__xludf.DUMMYFUNCTION("""COMPUTED_VALUE"""),"N/A")</f>
        <v/>
      </c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</row>
    <row r="44">
      <c r="A44" s="34">
        <f>IFERROR(__xludf.DUMMYFUNCTION("""COMPUTED_VALUE"""),"Team Gamma")</f>
        <v/>
      </c>
      <c r="B44" s="34">
        <f>IFERROR(__xludf.DUMMYFUNCTION("""COMPUTED_VALUE"""),"Priority Escalation Review")</f>
        <v/>
      </c>
      <c r="C44" s="34">
        <f>IFERROR(__xludf.DUMMYFUNCTION("""COMPUTED_VALUE"""),"TASK-2023")</f>
        <v/>
      </c>
      <c r="D44" s="35">
        <f>IFERROR(__xludf.DUMMYFUNCTION("""COMPUTED_VALUE"""),46204.36458333334)</f>
        <v/>
      </c>
      <c r="E44" s="35">
        <f>IFERROR(__xludf.DUMMYFUNCTION("""COMPUTED_VALUE"""),46205.61458333334)</f>
        <v/>
      </c>
      <c r="F44" s="39">
        <f>IFERROR(__xludf.DUMMYFUNCTION("""COMPUTED_VALUE"""),"Yes")</f>
        <v/>
      </c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</row>
    <row r="45">
      <c r="A45" s="30">
        <f>IFERROR(__xludf.DUMMYFUNCTION("""COMPUTED_VALUE"""),"Team Gamma")</f>
        <v/>
      </c>
      <c r="B45" s="30">
        <f>IFERROR(__xludf.DUMMYFUNCTION("""COMPUTED_VALUE"""),"Quality Review")</f>
        <v/>
      </c>
      <c r="C45" s="30">
        <f>IFERROR(__xludf.DUMMYFUNCTION("""COMPUTED_VALUE"""),"TASK-2016")</f>
        <v/>
      </c>
      <c r="D45" s="37">
        <f>IFERROR(__xludf.DUMMYFUNCTION("""COMPUTED_VALUE"""),46204.58263888889)</f>
        <v/>
      </c>
      <c r="E45" s="37">
        <f>IFERROR(__xludf.DUMMYFUNCTION("""COMPUTED_VALUE"""),46206.66597222222)</f>
        <v/>
      </c>
      <c r="F45" s="36">
        <f>IFERROR(__xludf.DUMMYFUNCTION("""COMPUTED_VALUE"""),"N/A")</f>
        <v/>
      </c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</row>
    <row r="46">
      <c r="A46" s="34">
        <f>IFERROR(__xludf.DUMMYFUNCTION("""COMPUTED_VALUE"""),"Team Gamma")</f>
        <v/>
      </c>
      <c r="B46" s="34">
        <f>IFERROR(__xludf.DUMMYFUNCTION("""COMPUTED_VALUE"""),"Complex Case Review")</f>
        <v/>
      </c>
      <c r="C46" s="34">
        <f>IFERROR(__xludf.DUMMYFUNCTION("""COMPUTED_VALUE"""),"TASK-2018")</f>
        <v/>
      </c>
      <c r="D46" s="35">
        <f>IFERROR(__xludf.DUMMYFUNCTION("""COMPUTED_VALUE"""),46204.92361111111)</f>
        <v/>
      </c>
      <c r="E46" s="35">
        <f>IFERROR(__xludf.DUMMYFUNCTION("""COMPUTED_VALUE"""),46207.38194444445)</f>
        <v/>
      </c>
      <c r="F46" s="36">
        <f>IFERROR(__xludf.DUMMYFUNCTION("""COMPUTED_VALUE"""),"N/A")</f>
        <v/>
      </c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</row>
    <row r="47">
      <c r="A47" s="30">
        <f>IFERROR(__xludf.DUMMYFUNCTION("""COMPUTED_VALUE"""),"Team Gamma")</f>
        <v/>
      </c>
      <c r="B47" s="30">
        <f>IFERROR(__xludf.DUMMYFUNCTION("""COMPUTED_VALUE"""),"Process Exception Investigation")</f>
        <v/>
      </c>
      <c r="C47" s="30">
        <f>IFERROR(__xludf.DUMMYFUNCTION("""COMPUTED_VALUE"""),"TASK-2020")</f>
        <v/>
      </c>
      <c r="D47" s="37">
        <f>IFERROR(__xludf.DUMMYFUNCTION("""COMPUTED_VALUE"""),46205.63958333333)</f>
        <v/>
      </c>
      <c r="E47" s="37">
        <f>IFERROR(__xludf.DUMMYFUNCTION("""COMPUTED_VALUE"""),46208.47291666667)</f>
        <v/>
      </c>
      <c r="F47" s="36">
        <f>IFERROR(__xludf.DUMMYFUNCTION("""COMPUTED_VALUE"""),"N/A")</f>
        <v/>
      </c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</row>
    <row r="48">
      <c r="A48" s="34">
        <f>IFERROR(__xludf.DUMMYFUNCTION("""COMPUTED_VALUE"""),"Team Gamma")</f>
        <v/>
      </c>
      <c r="B48" s="34">
        <f>IFERROR(__xludf.DUMMYFUNCTION("""COMPUTED_VALUE"""),"Priority Escalation Review")</f>
        <v/>
      </c>
      <c r="C48" s="34">
        <f>IFERROR(__xludf.DUMMYFUNCTION("""COMPUTED_VALUE"""),"TASK-2024")</f>
        <v/>
      </c>
      <c r="D48" s="35">
        <f>IFERROR(__xludf.DUMMYFUNCTION("""COMPUTED_VALUE"""),46207.12361111111)</f>
        <v/>
      </c>
      <c r="E48" s="35">
        <f>IFERROR(__xludf.DUMMYFUNCTION("""COMPUTED_VALUE"""),46208.66527777778)</f>
        <v/>
      </c>
      <c r="F48" s="36">
        <f>IFERROR(__xludf.DUMMYFUNCTION("""COMPUTED_VALUE"""),"No")</f>
        <v/>
      </c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</row>
    <row r="49">
      <c r="A49" s="30">
        <f>IFERROR(__xludf.DUMMYFUNCTION("""COMPUTED_VALUE"""),"Team Gamma")</f>
        <v/>
      </c>
      <c r="B49" s="30">
        <f>IFERROR(__xludf.DUMMYFUNCTION("""COMPUTED_VALUE"""),"Process Exception Investigation")</f>
        <v/>
      </c>
      <c r="C49" s="30">
        <f>IFERROR(__xludf.DUMMYFUNCTION("""COMPUTED_VALUE"""),"TASK-2073")</f>
        <v/>
      </c>
      <c r="D49" s="37">
        <f>IFERROR(__xludf.DUMMYFUNCTION("""COMPUTED_VALUE"""),46206.59861111111)</f>
        <v/>
      </c>
      <c r="E49" s="37">
        <f>IFERROR(__xludf.DUMMYFUNCTION("""COMPUTED_VALUE"""),46209.47361111111)</f>
        <v/>
      </c>
      <c r="F49" s="36">
        <f>IFERROR(__xludf.DUMMYFUNCTION("""COMPUTED_VALUE"""),"N/A")</f>
        <v/>
      </c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</row>
    <row r="50">
      <c r="A50" s="34">
        <f>IFERROR(__xludf.DUMMYFUNCTION("""COMPUTED_VALUE"""),"Team Gamma")</f>
        <v/>
      </c>
      <c r="B50" s="34">
        <f>IFERROR(__xludf.DUMMYFUNCTION("""COMPUTED_VALUE"""),"Priority Escalation Review")</f>
        <v/>
      </c>
      <c r="C50" s="34">
        <f>IFERROR(__xludf.DUMMYFUNCTION("""COMPUTED_VALUE"""),"TASK-2077")</f>
        <v/>
      </c>
      <c r="D50" s="35">
        <f>IFERROR(__xludf.DUMMYFUNCTION("""COMPUTED_VALUE"""),46208.08263888889)</f>
        <v/>
      </c>
      <c r="E50" s="35">
        <f>IFERROR(__xludf.DUMMYFUNCTION("""COMPUTED_VALUE"""),46209.66597222222)</f>
        <v/>
      </c>
      <c r="F50" s="39">
        <f>IFERROR(__xludf.DUMMYFUNCTION("""COMPUTED_VALUE"""),"No")</f>
        <v/>
      </c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</row>
    <row r="51">
      <c r="A51" s="30">
        <f>IFERROR(__xludf.DUMMYFUNCTION("""COMPUTED_VALUE"""),"Team Gamma")</f>
        <v/>
      </c>
      <c r="B51" s="30">
        <f>IFERROR(__xludf.DUMMYFUNCTION("""COMPUTED_VALUE"""),"Priority Escalation Review")</f>
        <v/>
      </c>
      <c r="C51" s="30">
        <f>IFERROR(__xludf.DUMMYFUNCTION("""COMPUTED_VALUE"""),"TASK-2075")</f>
        <v/>
      </c>
      <c r="D51" s="37">
        <f>IFERROR(__xludf.DUMMYFUNCTION("""COMPUTED_VALUE"""),46209.56458333333)</f>
        <v/>
      </c>
      <c r="E51" s="37">
        <f>IFERROR(__xludf.DUMMYFUNCTION("""COMPUTED_VALUE"""),46210.56458333333)</f>
        <v/>
      </c>
      <c r="F51" s="36">
        <f>IFERROR(__xludf.DUMMYFUNCTION("""COMPUTED_VALUE"""),"Yes")</f>
        <v/>
      </c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</row>
    <row r="52">
      <c r="A52" s="34">
        <f>IFERROR(__xludf.DUMMYFUNCTION("""COMPUTED_VALUE"""),"Team Gamma")</f>
        <v/>
      </c>
      <c r="B52" s="34">
        <f>IFERROR(__xludf.DUMMYFUNCTION("""COMPUTED_VALUE"""),"Quality Review")</f>
        <v/>
      </c>
      <c r="C52" s="34">
        <f>IFERROR(__xludf.DUMMYFUNCTION("""COMPUTED_VALUE"""),"TASK-2069")</f>
        <v/>
      </c>
      <c r="D52" s="35">
        <f>IFERROR(__xludf.DUMMYFUNCTION("""COMPUTED_VALUE"""),46208.25902777778)</f>
        <v/>
      </c>
      <c r="E52" s="35">
        <f>IFERROR(__xludf.DUMMYFUNCTION("""COMPUTED_VALUE"""),46210.67569444444)</f>
        <v/>
      </c>
      <c r="F52" s="36">
        <f>IFERROR(__xludf.DUMMYFUNCTION("""COMPUTED_VALUE"""),"N/A")</f>
        <v/>
      </c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</row>
    <row r="53">
      <c r="A53" s="30">
        <f>IFERROR(__xludf.DUMMYFUNCTION("""COMPUTED_VALUE"""),"Team Gamma")</f>
        <v/>
      </c>
      <c r="B53" s="30">
        <f>IFERROR(__xludf.DUMMYFUNCTION("""COMPUTED_VALUE"""),"Complex Case Review")</f>
        <v/>
      </c>
      <c r="C53" s="30">
        <f>IFERROR(__xludf.DUMMYFUNCTION("""COMPUTED_VALUE"""),"TASK-2071")</f>
        <v/>
      </c>
      <c r="D53" s="37">
        <f>IFERROR(__xludf.DUMMYFUNCTION("""COMPUTED_VALUE"""),46208.64166666667)</f>
        <v/>
      </c>
      <c r="E53" s="37">
        <f>IFERROR(__xludf.DUMMYFUNCTION("""COMPUTED_VALUE"""),46211.43333333333)</f>
        <v/>
      </c>
      <c r="F53" s="39">
        <f>IFERROR(__xludf.DUMMYFUNCTION("""COMPUTED_VALUE"""),"N/A")</f>
        <v/>
      </c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</row>
    <row r="54">
      <c r="A54" s="34">
        <f>IFERROR(__xludf.DUMMYFUNCTION("""COMPUTED_VALUE"""),"Team Gamma")</f>
        <v/>
      </c>
      <c r="B54" s="34">
        <f>IFERROR(__xludf.DUMMYFUNCTION("""COMPUTED_VALUE"""),"Process Exception Investigation")</f>
        <v/>
      </c>
      <c r="C54" s="34">
        <f>IFERROR(__xludf.DUMMYFUNCTION("""COMPUTED_VALUE"""),"TASK-2074")</f>
        <v/>
      </c>
      <c r="D54" s="35">
        <f>IFERROR(__xludf.DUMMYFUNCTION("""COMPUTED_VALUE"""),46211.60763888889)</f>
        <v/>
      </c>
      <c r="E54" s="35">
        <f>IFERROR(__xludf.DUMMYFUNCTION("""COMPUTED_VALUE"""),46212.52430555555)</f>
        <v/>
      </c>
      <c r="F54" s="39">
        <f>IFERROR(__xludf.DUMMYFUNCTION("""COMPUTED_VALUE"""),"N/A")</f>
        <v/>
      </c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</row>
    <row r="55">
      <c r="A55" s="30">
        <f>IFERROR(__xludf.DUMMYFUNCTION("""COMPUTED_VALUE"""),"Team Gamma")</f>
        <v/>
      </c>
      <c r="B55" s="30">
        <f>IFERROR(__xludf.DUMMYFUNCTION("""COMPUTED_VALUE"""),"Priority Escalation Review")</f>
        <v/>
      </c>
      <c r="C55" s="30">
        <f>IFERROR(__xludf.DUMMYFUNCTION("""COMPUTED_VALUE"""),"TASK-2076")</f>
        <v/>
      </c>
      <c r="D55" s="37">
        <f>IFERROR(__xludf.DUMMYFUNCTION("""COMPUTED_VALUE"""),46212.32361111111)</f>
        <v/>
      </c>
      <c r="E55" s="37">
        <f>IFERROR(__xludf.DUMMYFUNCTION("""COMPUTED_VALUE"""),46213.61527777778)</f>
        <v/>
      </c>
      <c r="F55" s="36">
        <f>IFERROR(__xludf.DUMMYFUNCTION("""COMPUTED_VALUE"""),"No")</f>
        <v/>
      </c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</row>
    <row r="56">
      <c r="A56" s="34">
        <f>IFERROR(__xludf.DUMMYFUNCTION("""COMPUTED_VALUE"""),"Team Gamma")</f>
        <v/>
      </c>
      <c r="B56" s="34">
        <f>IFERROR(__xludf.DUMMYFUNCTION("""COMPUTED_VALUE"""),"Complex Case Review")</f>
        <v/>
      </c>
      <c r="C56" s="34">
        <f>IFERROR(__xludf.DUMMYFUNCTION("""COMPUTED_VALUE"""),"TASK-2072")</f>
        <v/>
      </c>
      <c r="D56" s="35">
        <f>IFERROR(__xludf.DUMMYFUNCTION("""COMPUTED_VALUE"""),46213.65069444444)</f>
        <v/>
      </c>
      <c r="E56" s="35">
        <f>IFERROR(__xludf.DUMMYFUNCTION("""COMPUTED_VALUE"""),46214.48402777778)</f>
        <v/>
      </c>
      <c r="F56" s="36">
        <f>IFERROR(__xludf.DUMMYFUNCTION("""COMPUTED_VALUE"""),"N/A")</f>
        <v/>
      </c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</row>
    <row r="57">
      <c r="A57" s="30">
        <f>IFERROR(__xludf.DUMMYFUNCTION("""COMPUTED_VALUE"""),"Team Gamma")</f>
        <v/>
      </c>
      <c r="B57" s="30">
        <f>IFERROR(__xludf.DUMMYFUNCTION("""COMPUTED_VALUE"""),"Quality Review")</f>
        <v/>
      </c>
      <c r="C57" s="30">
        <f>IFERROR(__xludf.DUMMYFUNCTION("""COMPUTED_VALUE"""),"TASK-2068")</f>
        <v/>
      </c>
      <c r="D57" s="37">
        <f>IFERROR(__xludf.DUMMYFUNCTION("""COMPUTED_VALUE"""),46212.5)</f>
        <v/>
      </c>
      <c r="E57" s="37">
        <f>IFERROR(__xludf.DUMMYFUNCTION("""COMPUTED_VALUE"""),46214.625)</f>
        <v/>
      </c>
      <c r="F57" s="36">
        <f>IFERROR(__xludf.DUMMYFUNCTION("""COMPUTED_VALUE"""),"N/A")</f>
        <v/>
      </c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</row>
    <row r="58">
      <c r="A58" s="34">
        <f>IFERROR(__xludf.DUMMYFUNCTION("""COMPUTED_VALUE"""),"Team Gamma")</f>
        <v/>
      </c>
      <c r="B58" s="34">
        <f>IFERROR(__xludf.DUMMYFUNCTION("""COMPUTED_VALUE"""),"Complex Case Review")</f>
        <v/>
      </c>
      <c r="C58" s="34">
        <f>IFERROR(__xludf.DUMMYFUNCTION("""COMPUTED_VALUE"""),"TASK-2070")</f>
        <v/>
      </c>
      <c r="D58" s="35">
        <f>IFERROR(__xludf.DUMMYFUNCTION("""COMPUTED_VALUE"""),46212.88263888889)</f>
        <v/>
      </c>
      <c r="E58" s="35">
        <f>IFERROR(__xludf.DUMMYFUNCTION("""COMPUTED_VALUE"""),46215.38263888889)</f>
        <v/>
      </c>
      <c r="F58" s="36">
        <f>IFERROR(__xludf.DUMMYFUNCTION("""COMPUTED_VALUE"""),"N/A")</f>
        <v/>
      </c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</row>
    <row r="59">
      <c r="A59" s="30">
        <f>IFERROR(__xludf.DUMMYFUNCTION("""COMPUTED_VALUE"""),"Team Delta")</f>
        <v/>
      </c>
      <c r="B59" s="30">
        <f>IFERROR(__xludf.DUMMYFUNCTION("""COMPUTED_VALUE"""),"Complex Case Review")</f>
        <v/>
      </c>
      <c r="C59" s="30">
        <f>IFERROR(__xludf.DUMMYFUNCTION("""COMPUTED_VALUE"""),"TASK-2028")</f>
        <v/>
      </c>
      <c r="D59" s="37">
        <f>IFERROR(__xludf.DUMMYFUNCTION("""COMPUTED_VALUE"""),46199.76319444444)</f>
        <v/>
      </c>
      <c r="E59" s="37">
        <f>IFERROR(__xludf.DUMMYFUNCTION("""COMPUTED_VALUE"""),46202.42986111111)</f>
        <v/>
      </c>
      <c r="F59" s="36">
        <f>IFERROR(__xludf.DUMMYFUNCTION("""COMPUTED_VALUE"""),"N/A")</f>
        <v/>
      </c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</row>
    <row r="60">
      <c r="A60" s="34">
        <f>IFERROR(__xludf.DUMMYFUNCTION("""COMPUTED_VALUE"""),"Team Delta")</f>
        <v/>
      </c>
      <c r="B60" s="34">
        <f>IFERROR(__xludf.DUMMYFUNCTION("""COMPUTED_VALUE"""),"Process Exception Investigation")</f>
        <v/>
      </c>
      <c r="C60" s="34">
        <f>IFERROR(__xludf.DUMMYFUNCTION("""COMPUTED_VALUE"""),"TASK-2030")</f>
        <v/>
      </c>
      <c r="D60" s="35">
        <f>IFERROR(__xludf.DUMMYFUNCTION("""COMPUTED_VALUE"""),46202.72916666666)</f>
        <v/>
      </c>
      <c r="E60" s="35">
        <f>IFERROR(__xludf.DUMMYFUNCTION("""COMPUTED_VALUE"""),46203.52083333334)</f>
        <v/>
      </c>
      <c r="F60" s="39">
        <f>IFERROR(__xludf.DUMMYFUNCTION("""COMPUTED_VALUE"""),"N/A")</f>
        <v/>
      </c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</row>
    <row r="61">
      <c r="A61" s="30">
        <f>IFERROR(__xludf.DUMMYFUNCTION("""COMPUTED_VALUE"""),"Team Delta")</f>
        <v/>
      </c>
      <c r="B61" s="30">
        <f>IFERROR(__xludf.DUMMYFUNCTION("""COMPUTED_VALUE"""),"Priority Escalation Review")</f>
        <v/>
      </c>
      <c r="C61" s="30">
        <f>IFERROR(__xludf.DUMMYFUNCTION("""COMPUTED_VALUE"""),"TASK-2034")</f>
        <v/>
      </c>
      <c r="D61" s="37">
        <f>IFERROR(__xludf.DUMMYFUNCTION("""COMPUTED_VALUE"""),46201.92152777778)</f>
        <v/>
      </c>
      <c r="E61" s="37">
        <f>IFERROR(__xludf.DUMMYFUNCTION("""COMPUTED_VALUE"""),46203.67152777778)</f>
        <v/>
      </c>
      <c r="F61" s="36">
        <f>IFERROR(__xludf.DUMMYFUNCTION("""COMPUTED_VALUE"""),"No")</f>
        <v/>
      </c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</row>
    <row r="62">
      <c r="A62" s="34">
        <f>IFERROR(__xludf.DUMMYFUNCTION("""COMPUTED_VALUE"""),"Team Delta")</f>
        <v/>
      </c>
      <c r="B62" s="34">
        <f>IFERROR(__xludf.DUMMYFUNCTION("""COMPUTED_VALUE"""),"Quality Review")</f>
        <v/>
      </c>
      <c r="C62" s="34">
        <f>IFERROR(__xludf.DUMMYFUNCTION("""COMPUTED_VALUE"""),"TASK-2026")</f>
        <v/>
      </c>
      <c r="D62" s="35">
        <f>IFERROR(__xludf.DUMMYFUNCTION("""COMPUTED_VALUE"""),46201.80625)</f>
        <v/>
      </c>
      <c r="E62" s="35">
        <f>IFERROR(__xludf.DUMMYFUNCTION("""COMPUTED_VALUE"""),46204.38958333333)</f>
        <v/>
      </c>
      <c r="F62" s="39">
        <f>IFERROR(__xludf.DUMMYFUNCTION("""COMPUTED_VALUE"""),"N/A")</f>
        <v/>
      </c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</row>
    <row r="63">
      <c r="A63" s="30">
        <f>IFERROR(__xludf.DUMMYFUNCTION("""COMPUTED_VALUE"""),"Team Delta")</f>
        <v/>
      </c>
      <c r="B63" s="30">
        <f>IFERROR(__xludf.DUMMYFUNCTION("""COMPUTED_VALUE"""),"Priority Escalation Review")</f>
        <v/>
      </c>
      <c r="C63" s="30">
        <f>IFERROR(__xludf.DUMMYFUNCTION("""COMPUTED_VALUE"""),"TASK-2032")</f>
        <v/>
      </c>
      <c r="D63" s="37">
        <f>IFERROR(__xludf.DUMMYFUNCTION("""COMPUTED_VALUE"""),46203.44513888889)</f>
        <v/>
      </c>
      <c r="E63" s="37">
        <f>IFERROR(__xludf.DUMMYFUNCTION("""COMPUTED_VALUE"""),46204.61180555556)</f>
        <v/>
      </c>
      <c r="F63" s="36">
        <f>IFERROR(__xludf.DUMMYFUNCTION("""COMPUTED_VALUE"""),"Yes")</f>
        <v/>
      </c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</row>
    <row r="64">
      <c r="A64" s="34">
        <f>IFERROR(__xludf.DUMMYFUNCTION("""COMPUTED_VALUE"""),"Team Delta")</f>
        <v/>
      </c>
      <c r="B64" s="34">
        <f>IFERROR(__xludf.DUMMYFUNCTION("""COMPUTED_VALUE"""),"Complex Case Review")</f>
        <v/>
      </c>
      <c r="C64" s="34">
        <f>IFERROR(__xludf.DUMMYFUNCTION("""COMPUTED_VALUE"""),"TASK-2029")</f>
        <v/>
      </c>
      <c r="D64" s="35">
        <f>IFERROR(__xludf.DUMMYFUNCTION("""COMPUTED_VALUE"""),46202.52222222222)</f>
        <v/>
      </c>
      <c r="E64" s="35">
        <f>IFERROR(__xludf.DUMMYFUNCTION("""COMPUTED_VALUE"""),46205.48055555556)</f>
        <v/>
      </c>
      <c r="F64" s="36">
        <f>IFERROR(__xludf.DUMMYFUNCTION("""COMPUTED_VALUE"""),"N/A")</f>
        <v/>
      </c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</row>
    <row r="65">
      <c r="A65" s="30">
        <f>IFERROR(__xludf.DUMMYFUNCTION("""COMPUTED_VALUE"""),"Team Delta")</f>
        <v/>
      </c>
      <c r="B65" s="30">
        <f>IFERROR(__xludf.DUMMYFUNCTION("""COMPUTED_VALUE"""),"Process Exception Investigation")</f>
        <v/>
      </c>
      <c r="C65" s="30">
        <f>IFERROR(__xludf.DUMMYFUNCTION("""COMPUTED_VALUE"""),"TASK-2031")</f>
        <v/>
      </c>
      <c r="D65" s="37">
        <f>IFERROR(__xludf.DUMMYFUNCTION("""COMPUTED_VALUE"""),46205.48819444444)</f>
        <v/>
      </c>
      <c r="E65" s="37">
        <f>IFERROR(__xludf.DUMMYFUNCTION("""COMPUTED_VALUE"""),46206.57152777778)</f>
        <v/>
      </c>
      <c r="F65" s="39">
        <f>IFERROR(__xludf.DUMMYFUNCTION("""COMPUTED_VALUE"""),"N/A")</f>
        <v/>
      </c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</row>
    <row r="66">
      <c r="A66" s="34">
        <f>IFERROR(__xludf.DUMMYFUNCTION("""COMPUTED_VALUE"""),"Team Delta")</f>
        <v/>
      </c>
      <c r="B66" s="34">
        <f>IFERROR(__xludf.DUMMYFUNCTION("""COMPUTED_VALUE"""),"Quality Review")</f>
        <v/>
      </c>
      <c r="C66" s="34">
        <f>IFERROR(__xludf.DUMMYFUNCTION("""COMPUTED_VALUE"""),"TASK-2027")</f>
        <v/>
      </c>
      <c r="D66" s="35">
        <f>IFERROR(__xludf.DUMMYFUNCTION("""COMPUTED_VALUE"""),46204.56527777778)</f>
        <v/>
      </c>
      <c r="E66" s="35">
        <f>IFERROR(__xludf.DUMMYFUNCTION("""COMPUTED_VALUE"""),46207.44027777778)</f>
        <v/>
      </c>
      <c r="F66" s="39">
        <f>IFERROR(__xludf.DUMMYFUNCTION("""COMPUTED_VALUE"""),"N/A")</f>
        <v/>
      </c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</row>
    <row r="67">
      <c r="A67" s="30">
        <f>IFERROR(__xludf.DUMMYFUNCTION("""COMPUTED_VALUE"""),"Team Delta")</f>
        <v/>
      </c>
      <c r="B67" s="30">
        <f>IFERROR(__xludf.DUMMYFUNCTION("""COMPUTED_VALUE"""),"Priority Escalation Review")</f>
        <v/>
      </c>
      <c r="C67" s="30">
        <f>IFERROR(__xludf.DUMMYFUNCTION("""COMPUTED_VALUE"""),"TASK-2033")</f>
        <v/>
      </c>
      <c r="D67" s="37">
        <f>IFERROR(__xludf.DUMMYFUNCTION("""COMPUTED_VALUE"""),46206.20416666667)</f>
        <v/>
      </c>
      <c r="E67" s="37">
        <f>IFERROR(__xludf.DUMMYFUNCTION("""COMPUTED_VALUE"""),46207.6625)</f>
        <v/>
      </c>
      <c r="F67" s="36">
        <f>IFERROR(__xludf.DUMMYFUNCTION("""COMPUTED_VALUE"""),"No")</f>
        <v/>
      </c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</row>
    <row r="68">
      <c r="A68" s="34">
        <f>IFERROR(__xludf.DUMMYFUNCTION("""COMPUTED_VALUE"""),"Team Delta")</f>
        <v/>
      </c>
      <c r="B68" s="34">
        <f>IFERROR(__xludf.DUMMYFUNCTION("""COMPUTED_VALUE"""),"Quality Review")</f>
        <v/>
      </c>
      <c r="C68" s="34">
        <f>IFERROR(__xludf.DUMMYFUNCTION("""COMPUTED_VALUE"""),"TASK-2025")</f>
        <v/>
      </c>
      <c r="D68" s="35">
        <f>IFERROR(__xludf.DUMMYFUNCTION("""COMPUTED_VALUE"""),46206.38055555556)</f>
        <v/>
      </c>
      <c r="E68" s="35">
        <f>IFERROR(__xludf.DUMMYFUNCTION("""COMPUTED_VALUE"""),46208.67222222222)</f>
        <v/>
      </c>
      <c r="F68" s="36">
        <f>IFERROR(__xludf.DUMMYFUNCTION("""COMPUTED_VALUE"""),"N/A")</f>
        <v/>
      </c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</row>
    <row r="69">
      <c r="A69" s="30">
        <f>IFERROR(__xludf.DUMMYFUNCTION("""COMPUTED_VALUE"""),"Team Delta")</f>
        <v/>
      </c>
      <c r="B69" s="30">
        <f>IFERROR(__xludf.DUMMYFUNCTION("""COMPUTED_VALUE"""),"Complex Case Review")</f>
        <v/>
      </c>
      <c r="C69" s="30">
        <f>IFERROR(__xludf.DUMMYFUNCTION("""COMPUTED_VALUE"""),"TASK-2084")</f>
        <v/>
      </c>
      <c r="D69" s="37">
        <f>IFERROR(__xludf.DUMMYFUNCTION("""COMPUTED_VALUE"""),46208.49027777778)</f>
        <v/>
      </c>
      <c r="E69" s="37">
        <f>IFERROR(__xludf.DUMMYFUNCTION("""COMPUTED_VALUE"""),46209.53194444445)</f>
        <v/>
      </c>
      <c r="F69" s="36">
        <f>IFERROR(__xludf.DUMMYFUNCTION("""COMPUTED_VALUE"""),"N/A")</f>
        <v/>
      </c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</row>
    <row r="70">
      <c r="A70" s="34">
        <f>IFERROR(__xludf.DUMMYFUNCTION("""COMPUTED_VALUE"""),"Team Delta")</f>
        <v/>
      </c>
      <c r="B70" s="34">
        <f>IFERROR(__xludf.DUMMYFUNCTION("""COMPUTED_VALUE"""),"Quality Review")</f>
        <v/>
      </c>
      <c r="C70" s="34">
        <f>IFERROR(__xludf.DUMMYFUNCTION("""COMPUTED_VALUE"""),"TASK-2078")</f>
        <v/>
      </c>
      <c r="D70" s="35">
        <f>IFERROR(__xludf.DUMMYFUNCTION("""COMPUTED_VALUE"""),46207.33958333333)</f>
        <v/>
      </c>
      <c r="E70" s="35">
        <f>IFERROR(__xludf.DUMMYFUNCTION("""COMPUTED_VALUE"""),46209.67291666667)</f>
        <v/>
      </c>
      <c r="F70" s="36">
        <f>IFERROR(__xludf.DUMMYFUNCTION("""COMPUTED_VALUE"""),"N/A")</f>
        <v/>
      </c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</row>
    <row r="71">
      <c r="A71" s="30">
        <f>IFERROR(__xludf.DUMMYFUNCTION("""COMPUTED_VALUE"""),"Team Delta")</f>
        <v/>
      </c>
      <c r="B71" s="30">
        <f>IFERROR(__xludf.DUMMYFUNCTION("""COMPUTED_VALUE"""),"Complex Case Review")</f>
        <v/>
      </c>
      <c r="C71" s="30">
        <f>IFERROR(__xludf.DUMMYFUNCTION("""COMPUTED_VALUE"""),"TASK-2082")</f>
        <v/>
      </c>
      <c r="D71" s="37">
        <f>IFERROR(__xludf.DUMMYFUNCTION("""COMPUTED_VALUE"""),46207.72222222222)</f>
        <v/>
      </c>
      <c r="E71" s="37">
        <f>IFERROR(__xludf.DUMMYFUNCTION("""COMPUTED_VALUE"""),46210.43055555555)</f>
        <v/>
      </c>
      <c r="F71" s="36">
        <f>IFERROR(__xludf.DUMMYFUNCTION("""COMPUTED_VALUE"""),"N/A")</f>
        <v/>
      </c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</row>
    <row r="72">
      <c r="A72" s="34">
        <f>IFERROR(__xludf.DUMMYFUNCTION("""COMPUTED_VALUE"""),"Team Delta")</f>
        <v/>
      </c>
      <c r="B72" s="34">
        <f>IFERROR(__xludf.DUMMYFUNCTION("""COMPUTED_VALUE"""),"Quality Review")</f>
        <v/>
      </c>
      <c r="C72" s="34">
        <f>IFERROR(__xludf.DUMMYFUNCTION("""COMPUTED_VALUE"""),"TASK-2081")</f>
        <v/>
      </c>
      <c r="D72" s="35">
        <f>IFERROR(__xludf.DUMMYFUNCTION("""COMPUTED_VALUE"""),46210.53333333333)</f>
        <v/>
      </c>
      <c r="E72" s="35">
        <f>IFERROR(__xludf.DUMMYFUNCTION("""COMPUTED_VALUE"""),46211.49166666667)</f>
        <v/>
      </c>
      <c r="F72" s="39">
        <f>IFERROR(__xludf.DUMMYFUNCTION("""COMPUTED_VALUE"""),"N/A")</f>
        <v/>
      </c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</row>
    <row r="73">
      <c r="A73" s="30">
        <f>IFERROR(__xludf.DUMMYFUNCTION("""COMPUTED_VALUE"""),"Team Delta")</f>
        <v/>
      </c>
      <c r="B73" s="30">
        <f>IFERROR(__xludf.DUMMYFUNCTION("""COMPUTED_VALUE"""),"Process Exception Investigation")</f>
        <v/>
      </c>
      <c r="C73" s="30">
        <f>IFERROR(__xludf.DUMMYFUNCTION("""COMPUTED_VALUE"""),"TASK-2085")</f>
        <v/>
      </c>
      <c r="D73" s="37">
        <f>IFERROR(__xludf.DUMMYFUNCTION("""COMPUTED_VALUE"""),46210.68819444445)</f>
        <v/>
      </c>
      <c r="E73" s="37">
        <f>IFERROR(__xludf.DUMMYFUNCTION("""COMPUTED_VALUE"""),46211.52152777778)</f>
        <v/>
      </c>
      <c r="F73" s="36">
        <f>IFERROR(__xludf.DUMMYFUNCTION("""COMPUTED_VALUE"""),"N/A")</f>
        <v/>
      </c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</row>
    <row r="74">
      <c r="A74" s="34">
        <f>IFERROR(__xludf.DUMMYFUNCTION("""COMPUTED_VALUE"""),"Team Delta")</f>
        <v/>
      </c>
      <c r="B74" s="34">
        <f>IFERROR(__xludf.DUMMYFUNCTION("""COMPUTED_VALUE"""),"Quality Review")</f>
        <v/>
      </c>
      <c r="C74" s="34">
        <f>IFERROR(__xludf.DUMMYFUNCTION("""COMPUTED_VALUE"""),"TASK-2079")</f>
        <v/>
      </c>
      <c r="D74" s="35">
        <f>IFERROR(__xludf.DUMMYFUNCTION("""COMPUTED_VALUE"""),46209.76527777778)</f>
        <v/>
      </c>
      <c r="E74" s="35">
        <f>IFERROR(__xludf.DUMMYFUNCTION("""COMPUTED_VALUE"""),46212.39027777778)</f>
        <v/>
      </c>
      <c r="F74" s="36">
        <f>IFERROR(__xludf.DUMMYFUNCTION("""COMPUTED_VALUE"""),"N/A")</f>
        <v/>
      </c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</row>
    <row r="75">
      <c r="A75" s="30">
        <f>IFERROR(__xludf.DUMMYFUNCTION("""COMPUTED_VALUE"""),"Team Delta")</f>
        <v/>
      </c>
      <c r="B75" s="30">
        <f>IFERROR(__xludf.DUMMYFUNCTION("""COMPUTED_VALUE"""),"Priority Escalation Review")</f>
        <v/>
      </c>
      <c r="C75" s="30">
        <f>IFERROR(__xludf.DUMMYFUNCTION("""COMPUTED_VALUE"""),"TASK-2087")</f>
        <v/>
      </c>
      <c r="D75" s="37">
        <f>IFERROR(__xludf.DUMMYFUNCTION("""COMPUTED_VALUE"""),46211.40416666667)</f>
        <v/>
      </c>
      <c r="E75" s="37">
        <f>IFERROR(__xludf.DUMMYFUNCTION("""COMPUTED_VALUE"""),46212.6125)</f>
        <v/>
      </c>
      <c r="F75" s="39">
        <f>IFERROR(__xludf.DUMMYFUNCTION("""COMPUTED_VALUE"""),"Yes")</f>
        <v/>
      </c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</row>
    <row r="76">
      <c r="A76" s="34">
        <f>IFERROR(__xludf.DUMMYFUNCTION("""COMPUTED_VALUE"""),"Team Delta")</f>
        <v/>
      </c>
      <c r="B76" s="34">
        <f>IFERROR(__xludf.DUMMYFUNCTION("""COMPUTED_VALUE"""),"Complex Case Review")</f>
        <v/>
      </c>
      <c r="C76" s="34">
        <f>IFERROR(__xludf.DUMMYFUNCTION("""COMPUTED_VALUE"""),"TASK-2083")</f>
        <v/>
      </c>
      <c r="D76" s="35">
        <f>IFERROR(__xludf.DUMMYFUNCTION("""COMPUTED_VALUE"""),46212.73125)</f>
        <v/>
      </c>
      <c r="E76" s="35">
        <f>IFERROR(__xludf.DUMMYFUNCTION("""COMPUTED_VALUE"""),46213.48125)</f>
        <v/>
      </c>
      <c r="F76" s="39">
        <f>IFERROR(__xludf.DUMMYFUNCTION("""COMPUTED_VALUE"""),"N/A")</f>
        <v/>
      </c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</row>
    <row r="77">
      <c r="A77" s="30">
        <f>IFERROR(__xludf.DUMMYFUNCTION("""COMPUTED_VALUE"""),"Team Delta")</f>
        <v/>
      </c>
      <c r="B77" s="30">
        <f>IFERROR(__xludf.DUMMYFUNCTION("""COMPUTED_VALUE"""),"Process Exception Investigation")</f>
        <v/>
      </c>
      <c r="C77" s="30">
        <f>IFERROR(__xludf.DUMMYFUNCTION("""COMPUTED_VALUE"""),"TASK-2086")</f>
        <v/>
      </c>
      <c r="D77" s="37">
        <f>IFERROR(__xludf.DUMMYFUNCTION("""COMPUTED_VALUE"""),46213.44722222222)</f>
        <v/>
      </c>
      <c r="E77" s="37">
        <f>IFERROR(__xludf.DUMMYFUNCTION("""COMPUTED_VALUE"""),46214.57222222222)</f>
        <v/>
      </c>
      <c r="F77" s="36">
        <f>IFERROR(__xludf.DUMMYFUNCTION("""COMPUTED_VALUE"""),"N/A")</f>
        <v/>
      </c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</row>
    <row r="78">
      <c r="A78" s="34">
        <f>IFERROR(__xludf.DUMMYFUNCTION("""COMPUTED_VALUE"""),"Team Delta")</f>
        <v/>
      </c>
      <c r="B78" s="34">
        <f>IFERROR(__xludf.DUMMYFUNCTION("""COMPUTED_VALUE"""),"Quality Review")</f>
        <v/>
      </c>
      <c r="C78" s="34">
        <f>IFERROR(__xludf.DUMMYFUNCTION("""COMPUTED_VALUE"""),"TASK-2080")</f>
        <v/>
      </c>
      <c r="D78" s="35">
        <f>IFERROR(__xludf.DUMMYFUNCTION("""COMPUTED_VALUE"""),46212.52430555555)</f>
        <v/>
      </c>
      <c r="E78" s="35">
        <f>IFERROR(__xludf.DUMMYFUNCTION("""COMPUTED_VALUE"""),46215.44097222222)</f>
        <v/>
      </c>
      <c r="F78" s="36">
        <f>IFERROR(__xludf.DUMMYFUNCTION("""COMPUTED_VALUE"""),"N/A")</f>
        <v/>
      </c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</row>
    <row r="79">
      <c r="A79" s="30">
        <f>IFERROR(__xludf.DUMMYFUNCTION("""COMPUTED_VALUE"""),"Team Delta")</f>
        <v/>
      </c>
      <c r="B79" s="30">
        <f>IFERROR(__xludf.DUMMYFUNCTION("""COMPUTED_VALUE"""),"Priority Escalation Review")</f>
        <v/>
      </c>
      <c r="C79" s="30">
        <f>IFERROR(__xludf.DUMMYFUNCTION("""COMPUTED_VALUE"""),"TASK-2088")</f>
        <v/>
      </c>
      <c r="D79" s="37">
        <f>IFERROR(__xludf.DUMMYFUNCTION("""COMPUTED_VALUE"""),46214.16319444445)</f>
        <v/>
      </c>
      <c r="E79" s="37">
        <f>IFERROR(__xludf.DUMMYFUNCTION("""COMPUTED_VALUE"""),46215.66319444445)</f>
        <v/>
      </c>
      <c r="F79" s="36">
        <f>IFERROR(__xludf.DUMMYFUNCTION("""COMPUTED_VALUE"""),"No")</f>
        <v/>
      </c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</row>
    <row r="80">
      <c r="A80" s="34">
        <f>IFERROR(__xludf.DUMMYFUNCTION("""COMPUTED_VALUE"""),"Team Epsilon")</f>
        <v/>
      </c>
      <c r="B80" s="34">
        <f>IFERROR(__xludf.DUMMYFUNCTION("""COMPUTED_VALUE"""),"Priority Escalation Review")</f>
        <v/>
      </c>
      <c r="C80" s="34">
        <f>IFERROR(__xludf.DUMMYFUNCTION("""COMPUTED_VALUE"""),"TASK-2043")</f>
        <v/>
      </c>
      <c r="D80" s="35">
        <f>IFERROR(__xludf.DUMMYFUNCTION("""COMPUTED_VALUE"""),46201.00208333333)</f>
        <v/>
      </c>
      <c r="E80" s="35">
        <f>IFERROR(__xludf.DUMMYFUNCTION("""COMPUTED_VALUE"""),46202.66875)</f>
        <v/>
      </c>
      <c r="F80" s="36">
        <f>IFERROR(__xludf.DUMMYFUNCTION("""COMPUTED_VALUE"""),"Yes")</f>
        <v/>
      </c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</row>
    <row r="81">
      <c r="A81" s="30">
        <f>IFERROR(__xludf.DUMMYFUNCTION("""COMPUTED_VALUE"""),"Team Epsilon")</f>
        <v/>
      </c>
      <c r="B81" s="30">
        <f>IFERROR(__xludf.DUMMYFUNCTION("""COMPUTED_VALUE"""),"Quality Review")</f>
        <v/>
      </c>
      <c r="C81" s="30">
        <f>IFERROR(__xludf.DUMMYFUNCTION("""COMPUTED_VALUE"""),"TASK-2035")</f>
        <v/>
      </c>
      <c r="D81" s="37">
        <f>IFERROR(__xludf.DUMMYFUNCTION("""COMPUTED_VALUE"""),46200.88680555556)</f>
        <v/>
      </c>
      <c r="E81" s="37">
        <f>IFERROR(__xludf.DUMMYFUNCTION("""COMPUTED_VALUE"""),46203.38680555556)</f>
        <v/>
      </c>
      <c r="F81" s="36">
        <f>IFERROR(__xludf.DUMMYFUNCTION("""COMPUTED_VALUE"""),"N/A")</f>
        <v/>
      </c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</row>
    <row r="82">
      <c r="A82" s="34">
        <f>IFERROR(__xludf.DUMMYFUNCTION("""COMPUTED_VALUE"""),"Team Epsilon")</f>
        <v/>
      </c>
      <c r="B82" s="34">
        <f>IFERROR(__xludf.DUMMYFUNCTION("""COMPUTED_VALUE"""),"Complex Case Review")</f>
        <v/>
      </c>
      <c r="C82" s="34">
        <f>IFERROR(__xludf.DUMMYFUNCTION("""COMPUTED_VALUE"""),"TASK-2039")</f>
        <v/>
      </c>
      <c r="D82" s="35">
        <f>IFERROR(__xludf.DUMMYFUNCTION("""COMPUTED_VALUE"""),46202.37083333333)</f>
        <v/>
      </c>
      <c r="E82" s="35">
        <f>IFERROR(__xludf.DUMMYFUNCTION("""COMPUTED_VALUE"""),46203.57916666667)</f>
        <v/>
      </c>
      <c r="F82" s="36">
        <f>IFERROR(__xludf.DUMMYFUNCTION("""COMPUTED_VALUE"""),"N/A")</f>
        <v/>
      </c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</row>
    <row r="83">
      <c r="A83" s="30">
        <f>IFERROR(__xludf.DUMMYFUNCTION("""COMPUTED_VALUE"""),"Team Epsilon")</f>
        <v/>
      </c>
      <c r="B83" s="30">
        <f>IFERROR(__xludf.DUMMYFUNCTION("""COMPUTED_VALUE"""),"Complex Case Review")</f>
        <v/>
      </c>
      <c r="C83" s="30">
        <f>IFERROR(__xludf.DUMMYFUNCTION("""COMPUTED_VALUE"""),"TASK-2037")</f>
        <v/>
      </c>
      <c r="D83" s="37">
        <f>IFERROR(__xludf.DUMMYFUNCTION("""COMPUTED_VALUE"""),46201.60277777778)</f>
        <v/>
      </c>
      <c r="E83" s="37">
        <f>IFERROR(__xludf.DUMMYFUNCTION("""COMPUTED_VALUE"""),46204.47777777778)</f>
        <v/>
      </c>
      <c r="F83" s="39">
        <f>IFERROR(__xludf.DUMMYFUNCTION("""COMPUTED_VALUE"""),"N/A")</f>
        <v/>
      </c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</row>
    <row r="84">
      <c r="A84" s="34">
        <f>IFERROR(__xludf.DUMMYFUNCTION("""COMPUTED_VALUE"""),"Team Epsilon")</f>
        <v/>
      </c>
      <c r="B84" s="34">
        <f>IFERROR(__xludf.DUMMYFUNCTION("""COMPUTED_VALUE"""),"Priority Escalation Review")</f>
        <v/>
      </c>
      <c r="C84" s="34">
        <f>IFERROR(__xludf.DUMMYFUNCTION("""COMPUTED_VALUE"""),"TASK-2044")</f>
        <v/>
      </c>
      <c r="D84" s="35">
        <f>IFERROR(__xludf.DUMMYFUNCTION("""COMPUTED_VALUE"""),46203.42777777778)</f>
        <v/>
      </c>
      <c r="E84" s="35">
        <f>IFERROR(__xludf.DUMMYFUNCTION("""COMPUTED_VALUE"""),46205.38611111111)</f>
        <v/>
      </c>
      <c r="F84" s="36">
        <f>IFERROR(__xludf.DUMMYFUNCTION("""COMPUTED_VALUE"""),"No")</f>
        <v/>
      </c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</row>
    <row r="85">
      <c r="A85" s="30">
        <f>IFERROR(__xludf.DUMMYFUNCTION("""COMPUTED_VALUE"""),"Team Epsilon")</f>
        <v/>
      </c>
      <c r="B85" s="30">
        <f>IFERROR(__xludf.DUMMYFUNCTION("""COMPUTED_VALUE"""),"Process Exception Investigation")</f>
        <v/>
      </c>
      <c r="C85" s="30">
        <f>IFERROR(__xludf.DUMMYFUNCTION("""COMPUTED_VALUE"""),"TASK-2040")</f>
        <v/>
      </c>
      <c r="D85" s="37">
        <f>IFERROR(__xludf.DUMMYFUNCTION("""COMPUTED_VALUE"""),46204.56875)</f>
        <v/>
      </c>
      <c r="E85" s="37">
        <f>IFERROR(__xludf.DUMMYFUNCTION("""COMPUTED_VALUE"""),46205.56875)</f>
        <v/>
      </c>
      <c r="F85" s="36">
        <f>IFERROR(__xludf.DUMMYFUNCTION("""COMPUTED_VALUE"""),"N/A")</f>
        <v/>
      </c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</row>
    <row r="86">
      <c r="A86" s="34">
        <f>IFERROR(__xludf.DUMMYFUNCTION("""COMPUTED_VALUE"""),"Team Epsilon")</f>
        <v/>
      </c>
      <c r="B86" s="34">
        <f>IFERROR(__xludf.DUMMYFUNCTION("""COMPUTED_VALUE"""),"Quality Review")</f>
        <v/>
      </c>
      <c r="C86" s="34">
        <f>IFERROR(__xludf.DUMMYFUNCTION("""COMPUTED_VALUE"""),"TASK-2036")</f>
        <v/>
      </c>
      <c r="D86" s="35">
        <f>IFERROR(__xludf.DUMMYFUNCTION("""COMPUTED_VALUE"""),46203.64583333334)</f>
        <v/>
      </c>
      <c r="E86" s="35">
        <f>IFERROR(__xludf.DUMMYFUNCTION("""COMPUTED_VALUE"""),46206.4375)</f>
        <v/>
      </c>
      <c r="F86" s="39">
        <f>IFERROR(__xludf.DUMMYFUNCTION("""COMPUTED_VALUE"""),"N/A")</f>
        <v/>
      </c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</row>
    <row r="87">
      <c r="A87" s="30">
        <f>IFERROR(__xludf.DUMMYFUNCTION("""COMPUTED_VALUE"""),"Team Epsilon")</f>
        <v/>
      </c>
      <c r="B87" s="30">
        <f>IFERROR(__xludf.DUMMYFUNCTION("""COMPUTED_VALUE"""),"Priority Escalation Review")</f>
        <v/>
      </c>
      <c r="C87" s="30">
        <f>IFERROR(__xludf.DUMMYFUNCTION("""COMPUTED_VALUE"""),"TASK-2042")</f>
        <v/>
      </c>
      <c r="D87" s="37">
        <f>IFERROR(__xludf.DUMMYFUNCTION("""COMPUTED_VALUE"""),46205.28472222222)</f>
        <v/>
      </c>
      <c r="E87" s="37">
        <f>IFERROR(__xludf.DUMMYFUNCTION("""COMPUTED_VALUE"""),46206.65972222222)</f>
        <v/>
      </c>
      <c r="F87" s="39">
        <f>IFERROR(__xludf.DUMMYFUNCTION("""COMPUTED_VALUE"""),"Yes")</f>
        <v/>
      </c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</row>
    <row r="88">
      <c r="A88" s="34">
        <f>IFERROR(__xludf.DUMMYFUNCTION("""COMPUTED_VALUE"""),"Team Epsilon")</f>
        <v/>
      </c>
      <c r="B88" s="34">
        <f>IFERROR(__xludf.DUMMYFUNCTION("""COMPUTED_VALUE"""),"Complex Case Review")</f>
        <v/>
      </c>
      <c r="C88" s="34">
        <f>IFERROR(__xludf.DUMMYFUNCTION("""COMPUTED_VALUE"""),"TASK-2038")</f>
        <v/>
      </c>
      <c r="D88" s="35">
        <f>IFERROR(__xludf.DUMMYFUNCTION("""COMPUTED_VALUE"""),46206.61180555556)</f>
        <v/>
      </c>
      <c r="E88" s="35">
        <f>IFERROR(__xludf.DUMMYFUNCTION("""COMPUTED_VALUE"""),46207.52847222222)</f>
        <v/>
      </c>
      <c r="F88" s="36">
        <f>IFERROR(__xludf.DUMMYFUNCTION("""COMPUTED_VALUE"""),"N/A")</f>
        <v/>
      </c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</row>
    <row r="89">
      <c r="A89" s="30">
        <f>IFERROR(__xludf.DUMMYFUNCTION("""COMPUTED_VALUE"""),"Team Epsilon")</f>
        <v/>
      </c>
      <c r="B89" s="30">
        <f>IFERROR(__xludf.DUMMYFUNCTION("""COMPUTED_VALUE"""),"Process Exception Investigation")</f>
        <v/>
      </c>
      <c r="C89" s="30">
        <f>IFERROR(__xludf.DUMMYFUNCTION("""COMPUTED_VALUE"""),"TASK-2041")</f>
        <v/>
      </c>
      <c r="D89" s="37">
        <f>IFERROR(__xludf.DUMMYFUNCTION("""COMPUTED_VALUE"""),46207.32777777778)</f>
        <v/>
      </c>
      <c r="E89" s="37">
        <f>IFERROR(__xludf.DUMMYFUNCTION("""COMPUTED_VALUE"""),46208.61944444444)</f>
        <v/>
      </c>
      <c r="F89" s="36">
        <f>IFERROR(__xludf.DUMMYFUNCTION("""COMPUTED_VALUE"""),"N/A")</f>
        <v/>
      </c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</row>
    <row r="90">
      <c r="A90" s="34">
        <f>IFERROR(__xludf.DUMMYFUNCTION("""COMPUTED_VALUE"""),"Team Epsilon")</f>
        <v/>
      </c>
      <c r="B90" s="34">
        <f>IFERROR(__xludf.DUMMYFUNCTION("""COMPUTED_VALUE"""),"Priority Escalation Review")</f>
        <v/>
      </c>
      <c r="C90" s="34">
        <f>IFERROR(__xludf.DUMMYFUNCTION("""COMPUTED_VALUE"""),"TASK-2100")</f>
        <v/>
      </c>
      <c r="D90" s="35">
        <f>IFERROR(__xludf.DUMMYFUNCTION("""COMPUTED_VALUE"""),46207.14583333334)</f>
        <v/>
      </c>
      <c r="E90" s="35">
        <f>IFERROR(__xludf.DUMMYFUNCTION("""COMPUTED_VALUE"""),46209.4375)</f>
        <v/>
      </c>
      <c r="F90" s="36">
        <f>IFERROR(__xludf.DUMMYFUNCTION("""COMPUTED_VALUE"""),"No")</f>
        <v/>
      </c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</row>
    <row r="91">
      <c r="A91" s="30">
        <f>IFERROR(__xludf.DUMMYFUNCTION("""COMPUTED_VALUE"""),"Team Epsilon")</f>
        <v/>
      </c>
      <c r="B91" s="30">
        <f>IFERROR(__xludf.DUMMYFUNCTION("""COMPUTED_VALUE"""),"Process Exception Investigation")</f>
        <v/>
      </c>
      <c r="C91" s="30">
        <f>IFERROR(__xludf.DUMMYFUNCTION("""COMPUTED_VALUE"""),"TASK-2095")</f>
        <v/>
      </c>
      <c r="D91" s="37">
        <f>IFERROR(__xludf.DUMMYFUNCTION("""COMPUTED_VALUE"""),46208.28680555556)</f>
        <v/>
      </c>
      <c r="E91" s="37">
        <f>IFERROR(__xludf.DUMMYFUNCTION("""COMPUTED_VALUE"""),46209.62013888889)</f>
        <v/>
      </c>
      <c r="F91" s="36">
        <f>IFERROR(__xludf.DUMMYFUNCTION("""COMPUTED_VALUE"""),"N/A")</f>
        <v/>
      </c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</row>
    <row r="92">
      <c r="A92" s="34">
        <f>IFERROR(__xludf.DUMMYFUNCTION("""COMPUTED_VALUE"""),"Team Epsilon")</f>
        <v/>
      </c>
      <c r="B92" s="34">
        <f>IFERROR(__xludf.DUMMYFUNCTION("""COMPUTED_VALUE"""),"Quality Review")</f>
        <v/>
      </c>
      <c r="C92" s="34">
        <f>IFERROR(__xludf.DUMMYFUNCTION("""COMPUTED_VALUE"""),"TASK-2091")</f>
        <v/>
      </c>
      <c r="D92" s="35">
        <f>IFERROR(__xludf.DUMMYFUNCTION("""COMPUTED_VALUE"""),46209.61388888889)</f>
        <v/>
      </c>
      <c r="E92" s="35">
        <f>IFERROR(__xludf.DUMMYFUNCTION("""COMPUTED_VALUE"""),46210.48888888889)</f>
        <v/>
      </c>
      <c r="F92" s="36">
        <f>IFERROR(__xludf.DUMMYFUNCTION("""COMPUTED_VALUE"""),"N/A")</f>
        <v/>
      </c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</row>
    <row r="93">
      <c r="A93" s="30">
        <f>IFERROR(__xludf.DUMMYFUNCTION("""COMPUTED_VALUE"""),"Team Epsilon")</f>
        <v/>
      </c>
      <c r="B93" s="30">
        <f>IFERROR(__xludf.DUMMYFUNCTION("""COMPUTED_VALUE"""),"Priority Escalation Review")</f>
        <v/>
      </c>
      <c r="C93" s="30">
        <f>IFERROR(__xludf.DUMMYFUNCTION("""COMPUTED_VALUE"""),"TASK-2098")</f>
        <v/>
      </c>
      <c r="D93" s="37">
        <f>IFERROR(__xludf.DUMMYFUNCTION("""COMPUTED_VALUE"""),46208.96111111111)</f>
        <v/>
      </c>
      <c r="E93" s="37">
        <f>IFERROR(__xludf.DUMMYFUNCTION("""COMPUTED_VALUE"""),46210.66944444444)</f>
        <v/>
      </c>
      <c r="F93" s="39">
        <f>IFERROR(__xludf.DUMMYFUNCTION("""COMPUTED_VALUE"""),"No")</f>
        <v/>
      </c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</row>
    <row r="94">
      <c r="A94" s="34">
        <f>IFERROR(__xludf.DUMMYFUNCTION("""COMPUTED_VALUE"""),"Team Epsilon")</f>
        <v/>
      </c>
      <c r="B94" s="34">
        <f>IFERROR(__xludf.DUMMYFUNCTION("""COMPUTED_VALUE"""),"Quality Review")</f>
        <v/>
      </c>
      <c r="C94" s="34">
        <f>IFERROR(__xludf.DUMMYFUNCTION("""COMPUTED_VALUE"""),"TASK-2089")</f>
        <v/>
      </c>
      <c r="D94" s="35">
        <f>IFERROR(__xludf.DUMMYFUNCTION("""COMPUTED_VALUE"""),46208.84583333333)</f>
        <v/>
      </c>
      <c r="E94" s="35">
        <f>IFERROR(__xludf.DUMMYFUNCTION("""COMPUTED_VALUE"""),46211.3875)</f>
        <v/>
      </c>
      <c r="F94" s="36">
        <f>IFERROR(__xludf.DUMMYFUNCTION("""COMPUTED_VALUE"""),"N/A")</f>
        <v/>
      </c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</row>
    <row r="95">
      <c r="A95" s="30">
        <f>IFERROR(__xludf.DUMMYFUNCTION("""COMPUTED_VALUE"""),"Team Epsilon")</f>
        <v/>
      </c>
      <c r="B95" s="30">
        <f>IFERROR(__xludf.DUMMYFUNCTION("""COMPUTED_VALUE"""),"Complex Case Review")</f>
        <v/>
      </c>
      <c r="C95" s="30">
        <f>IFERROR(__xludf.DUMMYFUNCTION("""COMPUTED_VALUE"""),"TASK-2092")</f>
        <v/>
      </c>
      <c r="D95" s="37">
        <f>IFERROR(__xludf.DUMMYFUNCTION("""COMPUTED_VALUE"""),46209.56180555555)</f>
        <v/>
      </c>
      <c r="E95" s="37">
        <f>IFERROR(__xludf.DUMMYFUNCTION("""COMPUTED_VALUE"""),46212.47847222222)</f>
        <v/>
      </c>
      <c r="F95" s="36">
        <f>IFERROR(__xludf.DUMMYFUNCTION("""COMPUTED_VALUE"""),"N/A")</f>
        <v/>
      </c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</row>
    <row r="96">
      <c r="A96" s="34">
        <f>IFERROR(__xludf.DUMMYFUNCTION("""COMPUTED_VALUE"""),"Team Epsilon")</f>
        <v/>
      </c>
      <c r="B96" s="34">
        <f>IFERROR(__xludf.DUMMYFUNCTION("""COMPUTED_VALUE"""),"Process Exception Investigation")</f>
        <v/>
      </c>
      <c r="C96" s="34">
        <f>IFERROR(__xludf.DUMMYFUNCTION("""COMPUTED_VALUE"""),"TASK-2096")</f>
        <v/>
      </c>
      <c r="D96" s="35">
        <f>IFERROR(__xludf.DUMMYFUNCTION("""COMPUTED_VALUE"""),46211.00416666667)</f>
        <v/>
      </c>
      <c r="E96" s="35">
        <f>IFERROR(__xludf.DUMMYFUNCTION("""COMPUTED_VALUE"""),46212.62916666667)</f>
        <v/>
      </c>
      <c r="F96" s="39">
        <f>IFERROR(__xludf.DUMMYFUNCTION("""COMPUTED_VALUE"""),"N/A")</f>
        <v/>
      </c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</row>
    <row r="97">
      <c r="A97" s="30">
        <f>IFERROR(__xludf.DUMMYFUNCTION("""COMPUTED_VALUE"""),"Team Epsilon")</f>
        <v/>
      </c>
      <c r="B97" s="30">
        <f>IFERROR(__xludf.DUMMYFUNCTION("""COMPUTED_VALUE"""),"Priority Escalation Review")</f>
        <v/>
      </c>
      <c r="C97" s="30">
        <f>IFERROR(__xludf.DUMMYFUNCTION("""COMPUTED_VALUE"""),"TASK-2099")</f>
        <v/>
      </c>
      <c r="D97" s="37">
        <f>IFERROR(__xludf.DUMMYFUNCTION("""COMPUTED_VALUE"""),46211.38680555556)</f>
        <v/>
      </c>
      <c r="E97" s="37">
        <f>IFERROR(__xludf.DUMMYFUNCTION("""COMPUTED_VALUE"""),46213.38680555556)</f>
        <v/>
      </c>
      <c r="F97" s="39">
        <f>IFERROR(__xludf.DUMMYFUNCTION("""COMPUTED_VALUE"""),"No")</f>
        <v/>
      </c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</row>
    <row r="98">
      <c r="A98" s="34">
        <f>IFERROR(__xludf.DUMMYFUNCTION("""COMPUTED_VALUE"""),"Team Epsilon")</f>
        <v/>
      </c>
      <c r="B98" s="34">
        <f>IFERROR(__xludf.DUMMYFUNCTION("""COMPUTED_VALUE"""),"Process Exception Investigation")</f>
        <v/>
      </c>
      <c r="C98" s="34">
        <f>IFERROR(__xludf.DUMMYFUNCTION("""COMPUTED_VALUE"""),"TASK-2094")</f>
        <v/>
      </c>
      <c r="D98" s="35">
        <f>IFERROR(__xludf.DUMMYFUNCTION("""COMPUTED_VALUE"""),46212.52777777778)</f>
        <v/>
      </c>
      <c r="E98" s="35">
        <f>IFERROR(__xludf.DUMMYFUNCTION("""COMPUTED_VALUE"""),46213.56944444445)</f>
        <v/>
      </c>
      <c r="F98" s="36">
        <f>IFERROR(__xludf.DUMMYFUNCTION("""COMPUTED_VALUE"""),"N/A")</f>
        <v/>
      </c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</row>
    <row r="99">
      <c r="A99" s="30">
        <f>IFERROR(__xludf.DUMMYFUNCTION("""COMPUTED_VALUE"""),"Team Epsilon")</f>
        <v/>
      </c>
      <c r="B99" s="30">
        <f>IFERROR(__xludf.DUMMYFUNCTION("""COMPUTED_VALUE"""),"Quality Review")</f>
        <v/>
      </c>
      <c r="C99" s="30">
        <f>IFERROR(__xludf.DUMMYFUNCTION("""COMPUTED_VALUE"""),"TASK-2090")</f>
        <v/>
      </c>
      <c r="D99" s="37">
        <f>IFERROR(__xludf.DUMMYFUNCTION("""COMPUTED_VALUE"""),46211.60486111111)</f>
        <v/>
      </c>
      <c r="E99" s="37">
        <f>IFERROR(__xludf.DUMMYFUNCTION("""COMPUTED_VALUE"""),46214.43819444445)</f>
        <v/>
      </c>
      <c r="F99" s="36">
        <f>IFERROR(__xludf.DUMMYFUNCTION("""COMPUTED_VALUE"""),"N/A")</f>
        <v/>
      </c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</row>
    <row r="100">
      <c r="A100" s="34">
        <f>IFERROR(__xludf.DUMMYFUNCTION("""COMPUTED_VALUE"""),"Team Epsilon")</f>
        <v/>
      </c>
      <c r="B100" s="34">
        <f>IFERROR(__xludf.DUMMYFUNCTION("""COMPUTED_VALUE"""),"Priority Escalation Review")</f>
        <v/>
      </c>
      <c r="C100" s="34">
        <f>IFERROR(__xludf.DUMMYFUNCTION("""COMPUTED_VALUE"""),"TASK-2097")</f>
        <v/>
      </c>
      <c r="D100" s="35">
        <f>IFERROR(__xludf.DUMMYFUNCTION("""COMPUTED_VALUE"""),46213.24375)</f>
        <v/>
      </c>
      <c r="E100" s="35">
        <f>IFERROR(__xludf.DUMMYFUNCTION("""COMPUTED_VALUE"""),46214.66041666667)</f>
        <v/>
      </c>
      <c r="F100" s="36">
        <f>IFERROR(__xludf.DUMMYFUNCTION("""COMPUTED_VALUE"""),"Yes")</f>
        <v/>
      </c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</row>
    <row r="101">
      <c r="A101" s="30">
        <f>IFERROR(__xludf.DUMMYFUNCTION("""COMPUTED_VALUE"""),"Team Epsilon")</f>
        <v/>
      </c>
      <c r="B101" s="30">
        <f>IFERROR(__xludf.DUMMYFUNCTION("""COMPUTED_VALUE"""),"Complex Case Review")</f>
        <v/>
      </c>
      <c r="C101" s="30">
        <f>IFERROR(__xludf.DUMMYFUNCTION("""COMPUTED_VALUE"""),"TASK-2093")</f>
        <v/>
      </c>
      <c r="D101" s="37">
        <f>IFERROR(__xludf.DUMMYFUNCTION("""COMPUTED_VALUE"""),46214.57083333333)</f>
        <v/>
      </c>
      <c r="E101" s="37">
        <f>IFERROR(__xludf.DUMMYFUNCTION("""COMPUTED_VALUE"""),46215.52916666667)</f>
        <v/>
      </c>
      <c r="F101" s="36">
        <f>IFERROR(__xludf.DUMMYFUNCTION("""COMPUTED_VALUE"""),"N/A")</f>
        <v/>
      </c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7" t="n"/>
      <c r="Z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7" t="n"/>
      <c r="Z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/>
      <c r="Z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/>
      <c r="Z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/>
      <c r="Z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7" t="n"/>
      <c r="Z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7" t="n"/>
      <c r="Z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/>
      <c r="Z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7" t="n"/>
      <c r="Z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7" t="n"/>
      <c r="Z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/>
      <c r="Z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/>
      <c r="Z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/>
      <c r="Z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/>
      <c r="Z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/>
      <c r="Z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/>
      <c r="Z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/>
      <c r="Z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/>
      <c r="Z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/>
      <c r="Z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/>
      <c r="Z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/>
      <c r="Z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/>
      <c r="Z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/>
      <c r="Z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7" t="n"/>
      <c r="Z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/>
      <c r="Z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/>
      <c r="Z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7" t="n"/>
      <c r="Z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/>
      <c r="Z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/>
      <c r="Z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/>
      <c r="Z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/>
      <c r="Z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/>
      <c r="Z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/>
      <c r="Z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7" t="n"/>
      <c r="Z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/>
      <c r="Z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/>
      <c r="Z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/>
      <c r="Z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/>
      <c r="Z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/>
      <c r="Z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/>
      <c r="Z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/>
      <c r="Z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/>
      <c r="Z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7" t="n"/>
      <c r="Z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7" t="n"/>
      <c r="Z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/>
      <c r="Z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7" t="n"/>
      <c r="Z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/>
      <c r="Z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/>
      <c r="Z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/>
      <c r="Z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/>
      <c r="Z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/>
      <c r="Z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/>
      <c r="Z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/>
      <c r="Z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/>
      <c r="Z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/>
      <c r="Z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/>
      <c r="Z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7" t="n"/>
      <c r="Z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/>
      <c r="Z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/>
      <c r="Z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7" t="n"/>
      <c r="Z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/>
      <c r="Z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/>
      <c r="Z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/>
      <c r="Z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/>
      <c r="Z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/>
      <c r="Z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/>
      <c r="Z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/>
      <c r="Z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7" t="n"/>
      <c r="Z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/>
      <c r="Z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/>
      <c r="Z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/>
      <c r="Z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/>
      <c r="Z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/>
      <c r="Z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/>
      <c r="Z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7" t="n"/>
      <c r="Z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/>
      <c r="Z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/>
      <c r="Z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/>
      <c r="Z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/>
      <c r="Z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7" t="n"/>
      <c r="Z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/>
      <c r="Z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/>
      <c r="Z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/>
      <c r="Z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/>
      <c r="Z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7" t="n"/>
      <c r="Z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7" t="n"/>
      <c r="Z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/>
      <c r="Z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/>
      <c r="Z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7" t="n"/>
      <c r="Z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/>
      <c r="Z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/>
      <c r="Z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/>
      <c r="Z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/>
      <c r="Z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/>
      <c r="Z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/>
      <c r="Z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7" t="n"/>
      <c r="Z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7" t="n"/>
      <c r="Z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/>
      <c r="Z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/>
      <c r="Z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/>
      <c r="Z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7" t="n"/>
      <c r="Z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/>
      <c r="Z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/>
      <c r="Z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7" t="n"/>
      <c r="Z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/>
      <c r="Z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/>
      <c r="Z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/>
      <c r="Z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/>
      <c r="Z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7" t="n"/>
      <c r="Z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/>
      <c r="Z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/>
      <c r="Z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/>
      <c r="Z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/>
      <c r="Z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7" t="n"/>
      <c r="Z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7" t="n"/>
      <c r="Z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/>
      <c r="Z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/>
      <c r="Z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7" t="n"/>
      <c r="Z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/>
      <c r="Z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/>
      <c r="Z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/>
      <c r="Z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/>
      <c r="Z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7" t="n"/>
      <c r="Z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/>
      <c r="Z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/>
      <c r="Z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/>
      <c r="Z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/>
      <c r="Z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/>
      <c r="Z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7" t="n"/>
      <c r="Z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7" t="n"/>
      <c r="Z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7" t="n"/>
      <c r="Z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/>
      <c r="Z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/>
      <c r="Z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/>
      <c r="Z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/>
      <c r="Z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/>
      <c r="Z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/>
      <c r="Z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/>
      <c r="Z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/>
      <c r="Z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/>
      <c r="Z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/>
      <c r="Z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/>
      <c r="Z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/>
      <c r="Z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/>
      <c r="Z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/>
      <c r="Z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/>
      <c r="Z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/>
      <c r="Z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/>
      <c r="Z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/>
      <c r="Z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/>
      <c r="Z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/>
      <c r="Z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/>
      <c r="Z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/>
      <c r="Z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/>
      <c r="Z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/>
      <c r="Z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/>
      <c r="Z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/>
      <c r="Z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/>
      <c r="Z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/>
      <c r="Z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/>
      <c r="Z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/>
      <c r="Z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/>
      <c r="Z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7" t="n"/>
      <c r="Z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/>
      <c r="Z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/>
      <c r="Z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/>
      <c r="Z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/>
      <c r="Z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/>
      <c r="Z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/>
      <c r="Z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/>
      <c r="Z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/>
      <c r="Z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/>
      <c r="Z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/>
      <c r="Z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/>
      <c r="Z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/>
      <c r="Z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/>
      <c r="Z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/>
      <c r="Z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/>
      <c r="Z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/>
      <c r="Z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/>
      <c r="Z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/>
      <c r="Z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/>
      <c r="Z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7" t="n"/>
      <c r="Z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/>
      <c r="Z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/>
      <c r="Z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/>
      <c r="Z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/>
      <c r="Z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/>
      <c r="Z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/>
      <c r="Z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7" t="n"/>
      <c r="Z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/>
      <c r="Z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/>
      <c r="Z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/>
      <c r="Z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/>
      <c r="Z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/>
      <c r="Z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/>
      <c r="Z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/>
      <c r="Z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/>
      <c r="Z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/>
      <c r="Z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/>
      <c r="Z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/>
      <c r="Z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/>
      <c r="Z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/>
      <c r="Z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/>
      <c r="Z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/>
      <c r="Z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/>
      <c r="Z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/>
      <c r="Z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/>
      <c r="Z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/>
      <c r="Z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7" t="n"/>
      <c r="Z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/>
      <c r="Z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/>
      <c r="Z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/>
      <c r="Z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/>
      <c r="Z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/>
      <c r="Z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/>
      <c r="Z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/>
      <c r="Z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/>
      <c r="Z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/>
      <c r="Z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/>
      <c r="Z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/>
      <c r="Z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/>
      <c r="Z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/>
      <c r="Z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/>
      <c r="Z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/>
      <c r="Z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/>
      <c r="Z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7" t="n"/>
      <c r="Z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/>
      <c r="Z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/>
      <c r="Z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/>
      <c r="Z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/>
      <c r="Z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/>
      <c r="Z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/>
      <c r="Z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/>
      <c r="Z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/>
      <c r="Z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/>
      <c r="Z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/>
      <c r="Z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/>
      <c r="Z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/>
      <c r="Z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/>
      <c r="Z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/>
      <c r="Z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/>
      <c r="Z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/>
      <c r="Z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/>
      <c r="Z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/>
      <c r="Z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7" t="n"/>
      <c r="Z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/>
      <c r="Z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/>
      <c r="Z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/>
      <c r="Z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/>
      <c r="Z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/>
      <c r="Z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/>
      <c r="Z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/>
      <c r="Z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/>
      <c r="Z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7" t="n"/>
      <c r="Z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/>
      <c r="Z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/>
      <c r="Z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/>
      <c r="Z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/>
      <c r="Z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/>
      <c r="Z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/>
      <c r="Z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/>
      <c r="Z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/>
      <c r="Z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/>
      <c r="Z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/>
      <c r="Z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/>
      <c r="Z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/>
      <c r="Z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/>
      <c r="Z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/>
      <c r="Z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/>
      <c r="Z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/>
      <c r="Z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/>
      <c r="Z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/>
      <c r="Z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/>
      <c r="Z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/>
      <c r="Z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/>
      <c r="Z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/>
      <c r="Z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/>
      <c r="Z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/>
      <c r="Z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/>
      <c r="Z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/>
      <c r="Z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/>
      <c r="Z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/>
      <c r="Z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/>
      <c r="Z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/>
      <c r="Z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/>
      <c r="Z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/>
      <c r="Z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/>
      <c r="Z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/>
      <c r="Z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/>
      <c r="Z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/>
      <c r="Z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/>
      <c r="Z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7" t="n"/>
      <c r="Z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/>
      <c r="Z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/>
      <c r="Z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/>
      <c r="Z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/>
      <c r="Z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/>
      <c r="Z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/>
      <c r="Z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/>
      <c r="Z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/>
      <c r="Z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/>
      <c r="Z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/>
      <c r="Z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/>
      <c r="Z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/>
      <c r="Z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/>
      <c r="Z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/>
      <c r="Z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/>
      <c r="Z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/>
      <c r="Z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/>
      <c r="Z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7" t="n"/>
      <c r="Z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7" t="n"/>
      <c r="Z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/>
      <c r="Z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/>
      <c r="Z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/>
      <c r="Z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/>
      <c r="Z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/>
      <c r="Z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/>
      <c r="Z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/>
      <c r="Z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/>
      <c r="Z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/>
      <c r="Z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/>
      <c r="Z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/>
      <c r="Z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/>
      <c r="Z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/>
      <c r="Z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/>
      <c r="Z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/>
      <c r="Z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/>
      <c r="Z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/>
      <c r="Z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/>
      <c r="Z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/>
      <c r="Z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/>
      <c r="Z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/>
      <c r="Z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/>
      <c r="Z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/>
      <c r="Z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/>
      <c r="Z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/>
      <c r="Z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/>
      <c r="Z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/>
      <c r="Z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/>
      <c r="Z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/>
      <c r="Z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/>
      <c r="Z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/>
      <c r="Z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/>
      <c r="Z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/>
      <c r="Z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/>
      <c r="Z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/>
      <c r="Z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/>
      <c r="Z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/>
      <c r="Z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/>
      <c r="Z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/>
      <c r="Z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/>
      <c r="Z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/>
      <c r="Z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/>
      <c r="Z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/>
      <c r="Z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/>
      <c r="Z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/>
      <c r="Z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/>
      <c r="Z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/>
      <c r="Z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/>
      <c r="Z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/>
      <c r="Z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/>
      <c r="Z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/>
      <c r="Z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/>
      <c r="Z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/>
      <c r="Z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/>
      <c r="Z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/>
      <c r="Z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/>
      <c r="Z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/>
      <c r="Z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/>
      <c r="Z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/>
      <c r="Z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/>
      <c r="Z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/>
      <c r="Z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/>
      <c r="Z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/>
      <c r="Z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/>
      <c r="Z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/>
      <c r="Z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/>
      <c r="Z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/>
      <c r="Z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7" t="n"/>
      <c r="Z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/>
      <c r="Z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/>
      <c r="Z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/>
      <c r="Z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/>
      <c r="Z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/>
      <c r="Z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/>
      <c r="Z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/>
      <c r="Z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/>
      <c r="Z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/>
      <c r="Z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/>
      <c r="Z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/>
      <c r="Z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/>
      <c r="Z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/>
      <c r="Z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/>
      <c r="Z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/>
      <c r="Z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/>
      <c r="Z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/>
      <c r="Z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/>
      <c r="Z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/>
      <c r="Z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/>
      <c r="Z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/>
      <c r="Z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/>
      <c r="Z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/>
      <c r="Z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/>
      <c r="Z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/>
      <c r="Z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/>
      <c r="Z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/>
      <c r="Z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/>
      <c r="Z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/>
      <c r="Z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/>
      <c r="Z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/>
      <c r="Z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/>
      <c r="Z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/>
      <c r="Z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/>
      <c r="Z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/>
      <c r="Z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/>
      <c r="Z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/>
      <c r="Z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/>
      <c r="Z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/>
      <c r="Z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/>
      <c r="Z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/>
      <c r="Z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/>
      <c r="Z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/>
      <c r="Z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/>
      <c r="Z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/>
      <c r="Z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/>
      <c r="Z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/>
      <c r="Z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/>
      <c r="Z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/>
      <c r="Z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/>
      <c r="Z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/>
      <c r="Z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7" t="n"/>
      <c r="Z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/>
      <c r="Z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/>
      <c r="Z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/>
      <c r="Z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/>
      <c r="Z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/>
      <c r="Z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/>
      <c r="Z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/>
      <c r="Z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/>
      <c r="Z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/>
      <c r="Z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/>
      <c r="Z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/>
      <c r="Z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/>
      <c r="Z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/>
      <c r="Z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/>
      <c r="Z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/>
      <c r="Z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/>
      <c r="Z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/>
      <c r="Z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/>
      <c r="Z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/>
      <c r="Z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/>
      <c r="Z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/>
      <c r="Z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/>
      <c r="Z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/>
      <c r="Z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/>
      <c r="Z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/>
      <c r="Z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/>
      <c r="Z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/>
      <c r="Z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/>
      <c r="Z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/>
      <c r="Z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/>
      <c r="Z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/>
      <c r="Z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/>
      <c r="Z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/>
      <c r="Z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/>
      <c r="Z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/>
      <c r="Z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/>
      <c r="Z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/>
      <c r="Z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/>
      <c r="Z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/>
      <c r="Z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/>
      <c r="Z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/>
      <c r="Z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/>
      <c r="Z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/>
      <c r="Z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/>
      <c r="Z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/>
      <c r="Z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/>
      <c r="Z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/>
      <c r="Z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/>
      <c r="Z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/>
      <c r="Z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/>
      <c r="Z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/>
      <c r="Z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/>
      <c r="Z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/>
      <c r="Z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/>
      <c r="Z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/>
      <c r="Z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/>
      <c r="Z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/>
      <c r="Z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/>
      <c r="Z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/>
      <c r="Z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/>
      <c r="Z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/>
      <c r="Z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/>
      <c r="Z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/>
      <c r="Z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/>
      <c r="Z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/>
      <c r="Z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/>
      <c r="Z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/>
      <c r="Z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/>
      <c r="Z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/>
      <c r="Z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/>
      <c r="Z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/>
      <c r="Z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/>
      <c r="Z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/>
      <c r="Z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/>
      <c r="Z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/>
      <c r="Z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/>
      <c r="Z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/>
      <c r="Z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/>
      <c r="Z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/>
      <c r="Z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/>
      <c r="Z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/>
      <c r="Z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/>
      <c r="Z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/>
      <c r="Z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/>
      <c r="Z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/>
      <c r="Z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/>
      <c r="Z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/>
      <c r="Z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/>
      <c r="Z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/>
      <c r="Z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/>
      <c r="Z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/>
      <c r="Z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/>
      <c r="Z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/>
      <c r="Z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/>
      <c r="Z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/>
      <c r="Z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/>
      <c r="Z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/>
      <c r="Z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/>
      <c r="Z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/>
      <c r="Z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/>
      <c r="Z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/>
      <c r="Z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/>
      <c r="Z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/>
      <c r="Z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/>
      <c r="Z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/>
      <c r="Z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/>
      <c r="Z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/>
      <c r="Z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/>
      <c r="Z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/>
      <c r="Z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/>
      <c r="Z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/>
      <c r="Z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/>
      <c r="Z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/>
      <c r="Z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/>
      <c r="Z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/>
      <c r="Z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/>
      <c r="Z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/>
      <c r="Z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/>
      <c r="Z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/>
      <c r="Z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/>
      <c r="Z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/>
      <c r="Z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/>
      <c r="Z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/>
      <c r="Z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/>
      <c r="Z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/>
      <c r="Z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/>
      <c r="Z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/>
      <c r="Z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/>
      <c r="Z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/>
      <c r="Z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7" t="n"/>
      <c r="Z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/>
      <c r="Z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/>
      <c r="Z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7" t="n"/>
      <c r="Z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/>
      <c r="Z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/>
      <c r="Z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/>
      <c r="Z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/>
      <c r="Z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/>
      <c r="Z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/>
      <c r="Z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/>
      <c r="Z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/>
      <c r="Z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/>
      <c r="Z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/>
      <c r="Z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/>
      <c r="Z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/>
      <c r="Z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/>
      <c r="Z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/>
      <c r="Z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/>
      <c r="Z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/>
      <c r="Z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/>
      <c r="Z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/>
      <c r="Z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/>
      <c r="Z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/>
      <c r="Z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/>
      <c r="Z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/>
      <c r="Z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/>
      <c r="Z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/>
      <c r="Z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/>
      <c r="Z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/>
      <c r="Z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/>
      <c r="Z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/>
      <c r="Z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/>
      <c r="Z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/>
      <c r="Z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/>
      <c r="Z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7" t="n"/>
      <c r="Z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/>
      <c r="Z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/>
      <c r="Z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/>
      <c r="Z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/>
      <c r="Z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/>
      <c r="Z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/>
      <c r="Z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/>
      <c r="Z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/>
      <c r="Z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/>
      <c r="Z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/>
      <c r="Z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/>
      <c r="Z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/>
      <c r="Z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/>
      <c r="Z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/>
      <c r="Z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/>
      <c r="Z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/>
      <c r="Z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/>
      <c r="Z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/>
      <c r="Z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/>
      <c r="Z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/>
      <c r="Z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/>
      <c r="Z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/>
      <c r="Z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/>
      <c r="Z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/>
      <c r="Z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/>
      <c r="Z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/>
      <c r="Z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/>
      <c r="Z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/>
      <c r="Z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/>
      <c r="Z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/>
      <c r="Z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/>
      <c r="Z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/>
      <c r="Z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/>
      <c r="Z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/>
      <c r="Z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7" t="n"/>
      <c r="Z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/>
      <c r="Z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/>
      <c r="Z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/>
      <c r="Z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/>
      <c r="Z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/>
      <c r="Z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/>
      <c r="Z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/>
      <c r="Z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/>
      <c r="Z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7" t="n"/>
      <c r="Z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/>
      <c r="Z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/>
      <c r="Z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/>
      <c r="Z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/>
      <c r="Z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/>
      <c r="Z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7" t="n"/>
      <c r="Z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/>
      <c r="Z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/>
      <c r="Z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/>
      <c r="Z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/>
      <c r="Z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/>
      <c r="Z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/>
      <c r="Z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/>
      <c r="Z100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4" min="1" max="1"/>
    <col width="34" customWidth="1" style="44" min="2" max="2"/>
    <col width="16" customWidth="1" style="44" min="3" max="3"/>
    <col width="21" customWidth="1" style="44" min="4" max="5"/>
    <col width="21" customWidth="1" style="44" min="5" max="5"/>
    <col width="16" customWidth="1" style="44" min="6" max="6"/>
    <col width="8.710000000000001" customWidth="1" style="44" min="7" max="26"/>
  </cols>
  <sheetData>
    <row r="1" ht="30" customHeight="1" s="44">
      <c r="A1" s="45" t="inlineStr">
        <is>
          <t>Team</t>
        </is>
      </c>
      <c r="B1" s="45" t="inlineStr">
        <is>
          <t>Task Type</t>
        </is>
      </c>
      <c r="C1" s="45" t="inlineStr">
        <is>
          <t>Task ID</t>
        </is>
      </c>
      <c r="D1" s="45" t="inlineStr">
        <is>
          <t>Created Date</t>
        </is>
      </c>
      <c r="E1" s="45" t="inlineStr">
        <is>
          <t>Completed Date</t>
        </is>
      </c>
      <c r="F1" s="45" t="inlineStr">
        <is>
          <t>SLA Breached</t>
        </is>
      </c>
    </row>
    <row r="2">
      <c r="A2" s="41" t="inlineStr">
        <is>
          <t>Team Alpha</t>
        </is>
      </c>
      <c r="B2" s="41" t="inlineStr">
        <is>
          <t>Quality Review</t>
        </is>
      </c>
      <c r="C2" s="41" t="inlineStr">
        <is>
          <t>TASK-2001</t>
        </is>
      </c>
      <c r="D2" s="42" t="n">
        <v>46200.90347222222</v>
      </c>
      <c r="E2" s="42" t="n">
        <v>46202.57013888889</v>
      </c>
      <c r="F2" s="43" t="inlineStr">
        <is>
          <t>N/A</t>
        </is>
      </c>
    </row>
    <row r="3">
      <c r="A3" s="41" t="inlineStr">
        <is>
          <t>Team Alpha</t>
        </is>
      </c>
      <c r="B3" s="41" t="inlineStr">
        <is>
          <t>Complex Case Review</t>
        </is>
      </c>
      <c r="C3" s="41" t="inlineStr">
        <is>
          <t>TASK-2003</t>
        </is>
      </c>
      <c r="D3" s="42" t="n">
        <v>46201.61944444444</v>
      </c>
      <c r="E3" s="42" t="n">
        <v>46203.66111111111</v>
      </c>
      <c r="F3" s="43" t="inlineStr">
        <is>
          <t>N/A</t>
        </is>
      </c>
    </row>
    <row r="4">
      <c r="A4" s="41" t="inlineStr">
        <is>
          <t>Team Alpha</t>
        </is>
      </c>
      <c r="B4" s="41" t="inlineStr">
        <is>
          <t>Process Exception Investigation</t>
        </is>
      </c>
      <c r="C4" s="41" t="inlineStr">
        <is>
          <t>TASK-2005</t>
        </is>
      </c>
      <c r="D4" s="42" t="n">
        <v>46201.96041666667</v>
      </c>
      <c r="E4" s="42" t="n">
        <v>46204.37708333333</v>
      </c>
      <c r="F4" s="43" t="inlineStr">
        <is>
          <t>N/A</t>
        </is>
      </c>
    </row>
    <row r="5">
      <c r="A5" s="41" t="inlineStr">
        <is>
          <t>Team Alpha</t>
        </is>
      </c>
      <c r="B5" s="41" t="inlineStr">
        <is>
          <t>Priority Escalation Review</t>
        </is>
      </c>
      <c r="C5" s="41" t="inlineStr">
        <is>
          <t>TASK-2006</t>
        </is>
      </c>
      <c r="D5" s="42" t="n">
        <v>46202.67638888889</v>
      </c>
      <c r="E5" s="42" t="n">
        <v>46205.46805555555</v>
      </c>
      <c r="F5" s="43" t="inlineStr">
        <is>
          <t>Yes</t>
        </is>
      </c>
    </row>
    <row r="6">
      <c r="A6" s="41" t="inlineStr">
        <is>
          <t>Team Alpha</t>
        </is>
      </c>
      <c r="B6" s="41" t="inlineStr">
        <is>
          <t>Quality Review</t>
        </is>
      </c>
      <c r="C6" s="41" t="inlineStr">
        <is>
          <t>TASK-2002</t>
        </is>
      </c>
      <c r="D6" s="42" t="n">
        <v>46203.6625</v>
      </c>
      <c r="E6" s="42" t="n">
        <v>46205.62083333333</v>
      </c>
      <c r="F6" s="43" t="inlineStr">
        <is>
          <t>N/A</t>
        </is>
      </c>
    </row>
    <row r="7">
      <c r="A7" s="41" t="inlineStr">
        <is>
          <t>Team Alpha</t>
        </is>
      </c>
      <c r="B7" s="41" t="inlineStr">
        <is>
          <t>Complex Case Review</t>
        </is>
      </c>
      <c r="C7" s="41" t="inlineStr">
        <is>
          <t>TASK-2004</t>
        </is>
      </c>
      <c r="D7" s="42" t="n">
        <v>46204.33680555555</v>
      </c>
      <c r="E7" s="42" t="n">
        <v>46206.67013888889</v>
      </c>
      <c r="F7" s="43" t="inlineStr">
        <is>
          <t>N/A</t>
        </is>
      </c>
    </row>
    <row r="8">
      <c r="A8" s="41" t="inlineStr">
        <is>
          <t>Team Alpha</t>
        </is>
      </c>
      <c r="B8" s="41" t="inlineStr">
        <is>
          <t>Priority Escalation Review</t>
        </is>
      </c>
      <c r="C8" s="41" t="inlineStr">
        <is>
          <t>TASK-2007</t>
        </is>
      </c>
      <c r="D8" s="42" t="n">
        <v>46207.68541666667</v>
      </c>
      <c r="E8" s="42" t="n">
        <v>46208.51875</v>
      </c>
      <c r="F8" s="43" t="inlineStr">
        <is>
          <t>No</t>
        </is>
      </c>
    </row>
    <row r="9">
      <c r="A9" s="41" t="inlineStr">
        <is>
          <t>Team Alpha</t>
        </is>
      </c>
      <c r="B9" s="41" t="inlineStr">
        <is>
          <t>Priority Escalation Review</t>
        </is>
      </c>
      <c r="C9" s="41" t="inlineStr">
        <is>
          <t>TASK-2055</t>
        </is>
      </c>
      <c r="D9" s="42" t="n">
        <v>46208.64444444444</v>
      </c>
      <c r="E9" s="42" t="n">
        <v>46209.51944444444</v>
      </c>
      <c r="F9" s="43" t="inlineStr">
        <is>
          <t>No</t>
        </is>
      </c>
    </row>
    <row r="10">
      <c r="A10" s="41" t="inlineStr">
        <is>
          <t>Team Alpha</t>
        </is>
      </c>
      <c r="B10" s="41" t="inlineStr">
        <is>
          <t>Quality Review</t>
        </is>
      </c>
      <c r="C10" s="41" t="inlineStr">
        <is>
          <t>TASK-2047</t>
        </is>
      </c>
      <c r="D10" s="42" t="n">
        <v>46207.33888888889</v>
      </c>
      <c r="E10" s="42" t="n">
        <v>46209.63055555556</v>
      </c>
      <c r="F10" s="43" t="inlineStr">
        <is>
          <t>N/A</t>
        </is>
      </c>
    </row>
    <row r="11">
      <c r="A11" s="41" t="inlineStr">
        <is>
          <t>Team Alpha</t>
        </is>
      </c>
      <c r="B11" s="41" t="inlineStr">
        <is>
          <t>Complex Case Review</t>
        </is>
      </c>
      <c r="C11" s="41" t="inlineStr">
        <is>
          <t>TASK-2050</t>
        </is>
      </c>
      <c r="D11" s="42" t="n">
        <v>46207.72152777778</v>
      </c>
      <c r="E11" s="42" t="n">
        <v>46210.38819444444</v>
      </c>
      <c r="F11" s="43" t="inlineStr">
        <is>
          <t>N/A</t>
        </is>
      </c>
    </row>
    <row r="12">
      <c r="A12" s="41" t="inlineStr">
        <is>
          <t>Team Alpha</t>
        </is>
      </c>
      <c r="B12" s="41" t="inlineStr">
        <is>
          <t>Quality Review</t>
        </is>
      </c>
      <c r="C12" s="41" t="inlineStr">
        <is>
          <t>TASK-2045</t>
        </is>
      </c>
      <c r="D12" s="42" t="n">
        <v>46208.8625</v>
      </c>
      <c r="E12" s="42" t="n">
        <v>46210.57083333333</v>
      </c>
      <c r="F12" s="43" t="inlineStr">
        <is>
          <t>N/A</t>
        </is>
      </c>
    </row>
    <row r="13">
      <c r="A13" s="41" t="inlineStr">
        <is>
          <t>Team Alpha</t>
        </is>
      </c>
      <c r="B13" s="41" t="inlineStr">
        <is>
          <t>Process Exception Investigation</t>
        </is>
      </c>
      <c r="C13" s="41" t="inlineStr">
        <is>
          <t>TASK-2053</t>
        </is>
      </c>
      <c r="D13" s="42" t="n">
        <v>46210.6875</v>
      </c>
      <c r="E13" s="42" t="n">
        <v>46211.47916666666</v>
      </c>
      <c r="F13" s="43" t="inlineStr">
        <is>
          <t>N/A</t>
        </is>
      </c>
    </row>
    <row r="14">
      <c r="A14" s="41" t="inlineStr">
        <is>
          <t>Team Alpha</t>
        </is>
      </c>
      <c r="B14" s="41" t="inlineStr">
        <is>
          <t>Complex Case Review</t>
        </is>
      </c>
      <c r="C14" s="41" t="inlineStr">
        <is>
          <t>TASK-2048</t>
        </is>
      </c>
      <c r="D14" s="42" t="n">
        <v>46209.57847222222</v>
      </c>
      <c r="E14" s="42" t="n">
        <v>46211.66180555556</v>
      </c>
      <c r="F14" s="43" t="inlineStr">
        <is>
          <t>N/A</t>
        </is>
      </c>
    </row>
    <row r="15">
      <c r="A15" s="41" t="inlineStr">
        <is>
          <t>Team Alpha</t>
        </is>
      </c>
      <c r="B15" s="41" t="inlineStr">
        <is>
          <t>Process Exception Investigation</t>
        </is>
      </c>
      <c r="C15" s="41" t="inlineStr">
        <is>
          <t>TASK-2051</t>
        </is>
      </c>
      <c r="D15" s="42" t="n">
        <v>46209.91944444444</v>
      </c>
      <c r="E15" s="42" t="n">
        <v>46212.37777777778</v>
      </c>
      <c r="F15" s="43" t="inlineStr">
        <is>
          <t>N/A</t>
        </is>
      </c>
    </row>
    <row r="16">
      <c r="A16" s="41" t="inlineStr">
        <is>
          <t>Team Alpha</t>
        </is>
      </c>
      <c r="B16" s="41" t="inlineStr">
        <is>
          <t>Priority Escalation Review</t>
        </is>
      </c>
      <c r="C16" s="41" t="inlineStr">
        <is>
          <t>TASK-2056</t>
        </is>
      </c>
      <c r="D16" s="42" t="n">
        <v>46211.40347222222</v>
      </c>
      <c r="E16" s="42" t="n">
        <v>46212.57013888889</v>
      </c>
      <c r="F16" s="43" t="inlineStr">
        <is>
          <t>No</t>
        </is>
      </c>
    </row>
    <row r="17">
      <c r="A17" s="41" t="inlineStr">
        <is>
          <t>Team Alpha</t>
        </is>
      </c>
      <c r="B17" s="41" t="inlineStr">
        <is>
          <t>Priority Escalation Review</t>
        </is>
      </c>
      <c r="C17" s="41" t="inlineStr">
        <is>
          <t>TASK-2054</t>
        </is>
      </c>
      <c r="D17" s="42" t="n">
        <v>46210.63541666666</v>
      </c>
      <c r="E17" s="42" t="n">
        <v>46213.46875</v>
      </c>
      <c r="F17" s="43" t="inlineStr">
        <is>
          <t>Yes</t>
        </is>
      </c>
    </row>
    <row r="18">
      <c r="A18" s="41" t="inlineStr">
        <is>
          <t>Team Alpha</t>
        </is>
      </c>
      <c r="B18" s="41" t="inlineStr">
        <is>
          <t>Quality Review</t>
        </is>
      </c>
      <c r="C18" s="41" t="inlineStr">
        <is>
          <t>TASK-2046</t>
        </is>
      </c>
      <c r="D18" s="42" t="n">
        <v>46211.62152777778</v>
      </c>
      <c r="E18" s="42" t="n">
        <v>46213.62152777778</v>
      </c>
      <c r="F18" s="43" t="inlineStr">
        <is>
          <t>N/A</t>
        </is>
      </c>
    </row>
    <row r="19">
      <c r="A19" s="41" t="inlineStr">
        <is>
          <t>Team Alpha</t>
        </is>
      </c>
      <c r="B19" s="41" t="inlineStr">
        <is>
          <t>Complex Case Review</t>
        </is>
      </c>
      <c r="C19" s="41" t="inlineStr">
        <is>
          <t>TASK-2049</t>
        </is>
      </c>
      <c r="D19" s="42" t="n">
        <v>46212.29583333333</v>
      </c>
      <c r="E19" s="42" t="n">
        <v>46214.67083333333</v>
      </c>
      <c r="F19" s="43" t="inlineStr">
        <is>
          <t>N/A</t>
        </is>
      </c>
    </row>
    <row r="20">
      <c r="A20" s="41" t="inlineStr">
        <is>
          <t>Team Alpha</t>
        </is>
      </c>
      <c r="B20" s="41" t="inlineStr">
        <is>
          <t>Process Exception Investigation</t>
        </is>
      </c>
      <c r="C20" s="41" t="inlineStr">
        <is>
          <t>TASK-2052</t>
        </is>
      </c>
      <c r="D20" s="42" t="n">
        <v>46212.67847222222</v>
      </c>
      <c r="E20" s="42" t="n">
        <v>46215.42847222222</v>
      </c>
      <c r="F20" s="43" t="inlineStr">
        <is>
          <t>N/A</t>
        </is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4" min="1" max="1"/>
    <col width="34" customWidth="1" style="44" min="2" max="2"/>
    <col width="16" customWidth="1" style="44" min="3" max="3"/>
    <col width="21" customWidth="1" style="44" min="4" max="5"/>
    <col width="21" customWidth="1" style="44" min="5" max="5"/>
    <col width="16" customWidth="1" style="44" min="6" max="6"/>
    <col width="8.710000000000001" customWidth="1" style="44" min="7" max="26"/>
  </cols>
  <sheetData>
    <row r="1" ht="30" customHeight="1" s="44">
      <c r="A1" s="45" t="inlineStr">
        <is>
          <t>Team</t>
        </is>
      </c>
      <c r="B1" s="45" t="inlineStr">
        <is>
          <t>Task Type</t>
        </is>
      </c>
      <c r="C1" s="45" t="inlineStr">
        <is>
          <t>Task ID</t>
        </is>
      </c>
      <c r="D1" s="45" t="inlineStr">
        <is>
          <t>Created Date</t>
        </is>
      </c>
      <c r="E1" s="45" t="inlineStr">
        <is>
          <t>Completed Date</t>
        </is>
      </c>
      <c r="F1" s="45" t="inlineStr">
        <is>
          <t>SLA Breached</t>
        </is>
      </c>
    </row>
    <row r="2">
      <c r="A2" s="41" t="inlineStr">
        <is>
          <t>Team Beta</t>
        </is>
      </c>
      <c r="B2" s="41" t="inlineStr">
        <is>
          <t>Process Exception Investigation</t>
        </is>
      </c>
      <c r="C2" s="41" t="inlineStr">
        <is>
          <t>TASK-2012</t>
        </is>
      </c>
      <c r="D2" s="42" t="n">
        <v>46199.55902777778</v>
      </c>
      <c r="E2" s="42" t="n">
        <v>46202.47569444445</v>
      </c>
      <c r="F2" s="43" t="inlineStr">
        <is>
          <t>N/A</t>
        </is>
      </c>
    </row>
    <row r="3">
      <c r="A3" s="41" t="inlineStr">
        <is>
          <t>Team Beta</t>
        </is>
      </c>
      <c r="B3" s="41" t="inlineStr">
        <is>
          <t>Priority Escalation Review</t>
        </is>
      </c>
      <c r="C3" s="41" t="inlineStr">
        <is>
          <t>TASK-2014</t>
        </is>
      </c>
      <c r="D3" s="42" t="n">
        <v>46202.525</v>
      </c>
      <c r="E3" s="42" t="n">
        <v>46203.56666666667</v>
      </c>
      <c r="F3" s="43" t="inlineStr">
        <is>
          <t>No</t>
        </is>
      </c>
    </row>
    <row r="4">
      <c r="A4" s="41" t="inlineStr">
        <is>
          <t>Team Beta</t>
        </is>
      </c>
      <c r="B4" s="41" t="inlineStr">
        <is>
          <t>Quality Review</t>
        </is>
      </c>
      <c r="C4" s="41" t="inlineStr">
        <is>
          <t>TASK-2008</t>
        </is>
      </c>
      <c r="D4" s="42" t="n">
        <v>46202.74305555555</v>
      </c>
      <c r="E4" s="42" t="n">
        <v>46204.61805555555</v>
      </c>
      <c r="F4" s="43" t="inlineStr">
        <is>
          <t>N/A</t>
        </is>
      </c>
    </row>
    <row r="5">
      <c r="A5" s="41" t="inlineStr">
        <is>
          <t>Team Beta</t>
        </is>
      </c>
      <c r="B5" s="41" t="inlineStr">
        <is>
          <t>Complex Case Review</t>
        </is>
      </c>
      <c r="C5" s="41" t="inlineStr">
        <is>
          <t>TASK-2010</t>
        </is>
      </c>
      <c r="D5" s="42" t="n">
        <v>46203.41736111111</v>
      </c>
      <c r="E5" s="42" t="n">
        <v>46205.66736111111</v>
      </c>
      <c r="F5" s="43" t="inlineStr">
        <is>
          <t>N/A</t>
        </is>
      </c>
    </row>
    <row r="6">
      <c r="A6" s="41" t="inlineStr">
        <is>
          <t>Team Beta</t>
        </is>
      </c>
      <c r="B6" s="41" t="inlineStr">
        <is>
          <t>Process Exception Investigation</t>
        </is>
      </c>
      <c r="C6" s="41" t="inlineStr">
        <is>
          <t>TASK-2011</t>
        </is>
      </c>
      <c r="D6" s="42" t="n">
        <v>46203.8</v>
      </c>
      <c r="E6" s="42" t="n">
        <v>46206.425</v>
      </c>
      <c r="F6" s="43" t="inlineStr">
        <is>
          <t>N/A</t>
        </is>
      </c>
    </row>
    <row r="7">
      <c r="A7" s="41" t="inlineStr">
        <is>
          <t>Team Beta</t>
        </is>
      </c>
      <c r="B7" s="41" t="inlineStr">
        <is>
          <t>Priority Escalation Review</t>
        </is>
      </c>
      <c r="C7" s="41" t="inlineStr">
        <is>
          <t>TASK-2015</t>
        </is>
      </c>
      <c r="D7" s="42" t="n">
        <v>46205.28402777778</v>
      </c>
      <c r="E7" s="42" t="n">
        <v>46206.61736111111</v>
      </c>
      <c r="F7" s="43" t="inlineStr">
        <is>
          <t>No</t>
        </is>
      </c>
    </row>
    <row r="8">
      <c r="A8" s="41" t="inlineStr">
        <is>
          <t>Team Beta</t>
        </is>
      </c>
      <c r="B8" s="41" t="inlineStr">
        <is>
          <t>Priority Escalation Review</t>
        </is>
      </c>
      <c r="C8" s="41" t="inlineStr">
        <is>
          <t>TASK-2013</t>
        </is>
      </c>
      <c r="D8" s="42" t="n">
        <v>46206.76597222222</v>
      </c>
      <c r="E8" s="42" t="n">
        <v>46207.51597222222</v>
      </c>
      <c r="F8" s="43" t="inlineStr">
        <is>
          <t>Yes</t>
        </is>
      </c>
    </row>
    <row r="9">
      <c r="A9" s="41" t="inlineStr">
        <is>
          <t>Team Beta</t>
        </is>
      </c>
      <c r="B9" s="41" t="inlineStr">
        <is>
          <t>Quality Review</t>
        </is>
      </c>
      <c r="C9" s="41" t="inlineStr">
        <is>
          <t>TASK-2009</t>
        </is>
      </c>
      <c r="D9" s="42" t="n">
        <v>46205.46041666667</v>
      </c>
      <c r="E9" s="42" t="n">
        <v>46207.62708333333</v>
      </c>
      <c r="F9" s="43" t="inlineStr">
        <is>
          <t>N/A</t>
        </is>
      </c>
    </row>
    <row r="10">
      <c r="A10" s="41" t="inlineStr">
        <is>
          <t>Team Beta</t>
        </is>
      </c>
      <c r="B10" s="41" t="inlineStr">
        <is>
          <t>Complex Case Review</t>
        </is>
      </c>
      <c r="C10" s="41" t="inlineStr">
        <is>
          <t>TASK-2061</t>
        </is>
      </c>
      <c r="D10" s="42" t="n">
        <v>46206.80208333334</v>
      </c>
      <c r="E10" s="42" t="n">
        <v>46209.38541666666</v>
      </c>
      <c r="F10" s="43" t="inlineStr">
        <is>
          <t>N/A</t>
        </is>
      </c>
    </row>
    <row r="11">
      <c r="A11" s="41" t="inlineStr">
        <is>
          <t>Team Beta</t>
        </is>
      </c>
      <c r="B11" s="41" t="inlineStr">
        <is>
          <t>Process Exception Investigation</t>
        </is>
      </c>
      <c r="C11" s="41" t="inlineStr">
        <is>
          <t>TASK-2063</t>
        </is>
      </c>
      <c r="D11" s="42" t="n">
        <v>46207.51805555556</v>
      </c>
      <c r="E11" s="42" t="n">
        <v>46210.47638888889</v>
      </c>
      <c r="F11" s="43" t="inlineStr">
        <is>
          <t>N/A</t>
        </is>
      </c>
    </row>
    <row r="12">
      <c r="A12" s="41" t="inlineStr">
        <is>
          <t>Team Beta</t>
        </is>
      </c>
      <c r="B12" s="41" t="inlineStr">
        <is>
          <t>Priority Escalation Review</t>
        </is>
      </c>
      <c r="C12" s="41" t="inlineStr">
        <is>
          <t>TASK-2067</t>
        </is>
      </c>
      <c r="D12" s="42" t="n">
        <v>46208.96041666667</v>
      </c>
      <c r="E12" s="42" t="n">
        <v>46210.62708333333</v>
      </c>
      <c r="F12" s="43" t="inlineStr">
        <is>
          <t>No</t>
        </is>
      </c>
    </row>
    <row r="13">
      <c r="A13" s="41" t="inlineStr">
        <is>
          <t>Team Beta</t>
        </is>
      </c>
      <c r="B13" s="41" t="inlineStr">
        <is>
          <t>Priority Escalation Review</t>
        </is>
      </c>
      <c r="C13" s="41" t="inlineStr">
        <is>
          <t>TASK-2065</t>
        </is>
      </c>
      <c r="D13" s="42" t="n">
        <v>46210.48402777778</v>
      </c>
      <c r="E13" s="42" t="n">
        <v>46211.56736111111</v>
      </c>
      <c r="F13" s="43" t="inlineStr">
        <is>
          <t>No</t>
        </is>
      </c>
    </row>
    <row r="14">
      <c r="A14" s="41" t="inlineStr">
        <is>
          <t>Team Beta</t>
        </is>
      </c>
      <c r="B14" s="41" t="inlineStr">
        <is>
          <t>Quality Review</t>
        </is>
      </c>
      <c r="C14" s="41" t="inlineStr">
        <is>
          <t>TASK-2059</t>
        </is>
      </c>
      <c r="D14" s="42" t="n">
        <v>46209.17847222222</v>
      </c>
      <c r="E14" s="42" t="n">
        <v>46211.67847222222</v>
      </c>
      <c r="F14" s="43" t="inlineStr">
        <is>
          <t>N/A</t>
        </is>
      </c>
    </row>
    <row r="15">
      <c r="A15" s="41" t="inlineStr">
        <is>
          <t>Team Beta</t>
        </is>
      </c>
      <c r="B15" s="41" t="inlineStr">
        <is>
          <t>Quality Review</t>
        </is>
      </c>
      <c r="C15" s="41" t="inlineStr">
        <is>
          <t>TASK-2057</t>
        </is>
      </c>
      <c r="D15" s="42" t="n">
        <v>46210.70208333333</v>
      </c>
      <c r="E15" s="42" t="n">
        <v>46212.61875</v>
      </c>
      <c r="F15" s="43" t="inlineStr">
        <is>
          <t>N/A</t>
        </is>
      </c>
    </row>
    <row r="16">
      <c r="A16" s="41" t="inlineStr">
        <is>
          <t>Team Beta</t>
        </is>
      </c>
      <c r="B16" s="41" t="inlineStr">
        <is>
          <t>Complex Case Review</t>
        </is>
      </c>
      <c r="C16" s="41" t="inlineStr">
        <is>
          <t>TASK-2060</t>
        </is>
      </c>
      <c r="D16" s="42" t="n">
        <v>46211.37638888889</v>
      </c>
      <c r="E16" s="42" t="n">
        <v>46213.66805555556</v>
      </c>
      <c r="F16" s="43" t="inlineStr">
        <is>
          <t>N/A</t>
        </is>
      </c>
    </row>
    <row r="17">
      <c r="A17" s="41" t="inlineStr">
        <is>
          <t>Team Beta</t>
        </is>
      </c>
      <c r="B17" s="41" t="inlineStr">
        <is>
          <t>Process Exception Investigation</t>
        </is>
      </c>
      <c r="C17" s="41" t="inlineStr">
        <is>
          <t>TASK-2062</t>
        </is>
      </c>
      <c r="D17" s="42" t="n">
        <v>46211.75902777778</v>
      </c>
      <c r="E17" s="42" t="n">
        <v>46214.42569444444</v>
      </c>
      <c r="F17" s="43" t="inlineStr">
        <is>
          <t>N/A</t>
        </is>
      </c>
    </row>
    <row r="18">
      <c r="A18" s="41" t="inlineStr">
        <is>
          <t>Team Beta</t>
        </is>
      </c>
      <c r="B18" s="41" t="inlineStr">
        <is>
          <t>Priority Escalation Review</t>
        </is>
      </c>
      <c r="C18" s="41" t="inlineStr">
        <is>
          <t>TASK-2066</t>
        </is>
      </c>
      <c r="D18" s="42" t="n">
        <v>46213.24305555555</v>
      </c>
      <c r="E18" s="42" t="n">
        <v>46214.61805555555</v>
      </c>
      <c r="F18" s="43" t="inlineStr">
        <is>
          <t>No</t>
        </is>
      </c>
    </row>
    <row r="19">
      <c r="A19" s="41" t="inlineStr">
        <is>
          <t>Team Beta</t>
        </is>
      </c>
      <c r="B19" s="41" t="inlineStr">
        <is>
          <t>Priority Escalation Review</t>
        </is>
      </c>
      <c r="C19" s="41" t="inlineStr">
        <is>
          <t>TASK-2064</t>
        </is>
      </c>
      <c r="D19" s="42" t="n">
        <v>46214.725</v>
      </c>
      <c r="E19" s="42" t="n">
        <v>46215.51666666667</v>
      </c>
      <c r="F19" s="43" t="inlineStr">
        <is>
          <t>Yes</t>
        </is>
      </c>
    </row>
    <row r="20">
      <c r="A20" s="41" t="inlineStr">
        <is>
          <t>Team Beta</t>
        </is>
      </c>
      <c r="B20" s="41" t="inlineStr">
        <is>
          <t>Quality Review</t>
        </is>
      </c>
      <c r="C20" s="41" t="inlineStr">
        <is>
          <t>TASK-2058</t>
        </is>
      </c>
      <c r="D20" s="42" t="n">
        <v>46213.41944444444</v>
      </c>
      <c r="E20" s="42" t="n">
        <v>46215.62777777778</v>
      </c>
      <c r="F20" s="43" t="inlineStr">
        <is>
          <t>N/A</t>
        </is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4" min="1" max="1"/>
    <col width="34" customWidth="1" style="44" min="2" max="2"/>
    <col width="16" customWidth="1" style="44" min="3" max="3"/>
    <col width="21" customWidth="1" style="44" min="4" max="5"/>
    <col width="21" customWidth="1" style="44" min="5" max="5"/>
    <col width="16" customWidth="1" style="44" min="6" max="6"/>
    <col width="8.710000000000001" customWidth="1" style="44" min="7" max="26"/>
  </cols>
  <sheetData>
    <row r="1" ht="30" customHeight="1" s="44">
      <c r="A1" s="45" t="inlineStr">
        <is>
          <t>Team</t>
        </is>
      </c>
      <c r="B1" s="45" t="inlineStr">
        <is>
          <t>Task Type</t>
        </is>
      </c>
      <c r="C1" s="45" t="inlineStr">
        <is>
          <t>Task ID</t>
        </is>
      </c>
      <c r="D1" s="45" t="inlineStr">
        <is>
          <t>Created Date</t>
        </is>
      </c>
      <c r="E1" s="45" t="inlineStr">
        <is>
          <t>Completed Date</t>
        </is>
      </c>
      <c r="F1" s="45" t="inlineStr">
        <is>
          <t>SLA Breached</t>
        </is>
      </c>
    </row>
    <row r="2">
      <c r="A2" s="41" t="inlineStr">
        <is>
          <t>Team Gamma</t>
        </is>
      </c>
      <c r="B2" s="41" t="inlineStr">
        <is>
          <t>Priority Escalation Review</t>
        </is>
      </c>
      <c r="C2" s="41" t="inlineStr">
        <is>
          <t>TASK-2022</t>
        </is>
      </c>
      <c r="D2" s="42" t="n">
        <v>46201.60555555556</v>
      </c>
      <c r="E2" s="42" t="n">
        <v>46202.56388888889</v>
      </c>
      <c r="F2" s="43" t="inlineStr">
        <is>
          <t>Yes</t>
        </is>
      </c>
    </row>
    <row r="3">
      <c r="A3" s="41" t="inlineStr">
        <is>
          <t>Team Gamma</t>
        </is>
      </c>
      <c r="B3" s="41" t="inlineStr">
        <is>
          <t>Quality Review</t>
        </is>
      </c>
      <c r="C3" s="41" t="inlineStr">
        <is>
          <t>TASK-2017</t>
        </is>
      </c>
      <c r="D3" s="42" t="n">
        <v>46200.3</v>
      </c>
      <c r="E3" s="42" t="n">
        <v>46202.675</v>
      </c>
      <c r="F3" s="43" t="inlineStr">
        <is>
          <t>N/A</t>
        </is>
      </c>
    </row>
    <row r="4">
      <c r="A4" s="41" t="inlineStr">
        <is>
          <t>Team Gamma</t>
        </is>
      </c>
      <c r="B4" s="41" t="inlineStr">
        <is>
          <t>Complex Case Review</t>
        </is>
      </c>
      <c r="C4" s="41" t="inlineStr">
        <is>
          <t>TASK-2019</t>
        </is>
      </c>
      <c r="D4" s="42" t="n">
        <v>46200.68263888889</v>
      </c>
      <c r="E4" s="42" t="n">
        <v>46203.43263888889</v>
      </c>
      <c r="F4" s="43" t="inlineStr">
        <is>
          <t>N/A</t>
        </is>
      </c>
    </row>
    <row r="5">
      <c r="A5" s="41" t="inlineStr">
        <is>
          <t>Team Gamma</t>
        </is>
      </c>
      <c r="B5" s="41" t="inlineStr">
        <is>
          <t>Process Exception Investigation</t>
        </is>
      </c>
      <c r="C5" s="41" t="inlineStr">
        <is>
          <t>TASK-2021</t>
        </is>
      </c>
      <c r="D5" s="42" t="n">
        <v>46203.64861111111</v>
      </c>
      <c r="E5" s="42" t="n">
        <v>46204.52361111111</v>
      </c>
      <c r="F5" s="43" t="inlineStr">
        <is>
          <t>N/A</t>
        </is>
      </c>
    </row>
    <row r="6">
      <c r="A6" s="41" t="inlineStr">
        <is>
          <t>Team Gamma</t>
        </is>
      </c>
      <c r="B6" s="41" t="inlineStr">
        <is>
          <t>Priority Escalation Review</t>
        </is>
      </c>
      <c r="C6" s="41" t="inlineStr">
        <is>
          <t>TASK-2023</t>
        </is>
      </c>
      <c r="D6" s="42" t="n">
        <v>46204.36458333334</v>
      </c>
      <c r="E6" s="42" t="n">
        <v>46205.61458333334</v>
      </c>
      <c r="F6" s="43" t="inlineStr">
        <is>
          <t>Yes</t>
        </is>
      </c>
    </row>
    <row r="7">
      <c r="A7" s="41" t="inlineStr">
        <is>
          <t>Team Gamma</t>
        </is>
      </c>
      <c r="B7" s="41" t="inlineStr">
        <is>
          <t>Quality Review</t>
        </is>
      </c>
      <c r="C7" s="41" t="inlineStr">
        <is>
          <t>TASK-2016</t>
        </is>
      </c>
      <c r="D7" s="42" t="n">
        <v>46204.58263888889</v>
      </c>
      <c r="E7" s="42" t="n">
        <v>46206.66597222222</v>
      </c>
      <c r="F7" s="43" t="inlineStr">
        <is>
          <t>N/A</t>
        </is>
      </c>
    </row>
    <row r="8">
      <c r="A8" s="41" t="inlineStr">
        <is>
          <t>Team Gamma</t>
        </is>
      </c>
      <c r="B8" s="41" t="inlineStr">
        <is>
          <t>Complex Case Review</t>
        </is>
      </c>
      <c r="C8" s="41" t="inlineStr">
        <is>
          <t>TASK-2018</t>
        </is>
      </c>
      <c r="D8" s="42" t="n">
        <v>46204.92361111111</v>
      </c>
      <c r="E8" s="42" t="n">
        <v>46207.38194444445</v>
      </c>
      <c r="F8" s="43" t="inlineStr">
        <is>
          <t>N/A</t>
        </is>
      </c>
    </row>
    <row r="9">
      <c r="A9" s="41" t="inlineStr">
        <is>
          <t>Team Gamma</t>
        </is>
      </c>
      <c r="B9" s="41" t="inlineStr">
        <is>
          <t>Process Exception Investigation</t>
        </is>
      </c>
      <c r="C9" s="41" t="inlineStr">
        <is>
          <t>TASK-2020</t>
        </is>
      </c>
      <c r="D9" s="42" t="n">
        <v>46205.63958333333</v>
      </c>
      <c r="E9" s="42" t="n">
        <v>46208.47291666667</v>
      </c>
      <c r="F9" s="43" t="inlineStr">
        <is>
          <t>N/A</t>
        </is>
      </c>
    </row>
    <row r="10">
      <c r="A10" s="41" t="inlineStr">
        <is>
          <t>Team Gamma</t>
        </is>
      </c>
      <c r="B10" s="41" t="inlineStr">
        <is>
          <t>Priority Escalation Review</t>
        </is>
      </c>
      <c r="C10" s="41" t="inlineStr">
        <is>
          <t>TASK-2024</t>
        </is>
      </c>
      <c r="D10" s="42" t="n">
        <v>46207.12361111111</v>
      </c>
      <c r="E10" s="42" t="n">
        <v>46208.66527777778</v>
      </c>
      <c r="F10" s="43" t="inlineStr">
        <is>
          <t>No</t>
        </is>
      </c>
    </row>
    <row r="11">
      <c r="A11" s="41" t="inlineStr">
        <is>
          <t>Team Gamma</t>
        </is>
      </c>
      <c r="B11" s="41" t="inlineStr">
        <is>
          <t>Process Exception Investigation</t>
        </is>
      </c>
      <c r="C11" s="41" t="inlineStr">
        <is>
          <t>TASK-2073</t>
        </is>
      </c>
      <c r="D11" s="42" t="n">
        <v>46206.59861111111</v>
      </c>
      <c r="E11" s="42" t="n">
        <v>46209.47361111111</v>
      </c>
      <c r="F11" s="43" t="inlineStr">
        <is>
          <t>N/A</t>
        </is>
      </c>
    </row>
    <row r="12">
      <c r="A12" s="41" t="inlineStr">
        <is>
          <t>Team Gamma</t>
        </is>
      </c>
      <c r="B12" s="41" t="inlineStr">
        <is>
          <t>Priority Escalation Review</t>
        </is>
      </c>
      <c r="C12" s="41" t="inlineStr">
        <is>
          <t>TASK-2077</t>
        </is>
      </c>
      <c r="D12" s="42" t="n">
        <v>46208.08263888889</v>
      </c>
      <c r="E12" s="42" t="n">
        <v>46209.66597222222</v>
      </c>
      <c r="F12" s="43" t="inlineStr">
        <is>
          <t>No</t>
        </is>
      </c>
    </row>
    <row r="13">
      <c r="A13" s="41" t="inlineStr">
        <is>
          <t>Team Gamma</t>
        </is>
      </c>
      <c r="B13" s="41" t="inlineStr">
        <is>
          <t>Priority Escalation Review</t>
        </is>
      </c>
      <c r="C13" s="41" t="inlineStr">
        <is>
          <t>TASK-2075</t>
        </is>
      </c>
      <c r="D13" s="42" t="n">
        <v>46209.56458333333</v>
      </c>
      <c r="E13" s="42" t="n">
        <v>46210.56458333333</v>
      </c>
      <c r="F13" s="43" t="inlineStr">
        <is>
          <t>Yes</t>
        </is>
      </c>
    </row>
    <row r="14">
      <c r="A14" s="41" t="inlineStr">
        <is>
          <t>Team Gamma</t>
        </is>
      </c>
      <c r="B14" s="41" t="inlineStr">
        <is>
          <t>Quality Review</t>
        </is>
      </c>
      <c r="C14" s="41" t="inlineStr">
        <is>
          <t>TASK-2069</t>
        </is>
      </c>
      <c r="D14" s="42" t="n">
        <v>46208.25902777778</v>
      </c>
      <c r="E14" s="42" t="n">
        <v>46210.67569444444</v>
      </c>
      <c r="F14" s="43" t="inlineStr">
        <is>
          <t>N/A</t>
        </is>
      </c>
    </row>
    <row r="15">
      <c r="A15" s="41" t="inlineStr">
        <is>
          <t>Team Gamma</t>
        </is>
      </c>
      <c r="B15" s="41" t="inlineStr">
        <is>
          <t>Complex Case Review</t>
        </is>
      </c>
      <c r="C15" s="41" t="inlineStr">
        <is>
          <t>TASK-2071</t>
        </is>
      </c>
      <c r="D15" s="42" t="n">
        <v>46208.64166666667</v>
      </c>
      <c r="E15" s="42" t="n">
        <v>46211.43333333333</v>
      </c>
      <c r="F15" s="43" t="inlineStr">
        <is>
          <t>N/A</t>
        </is>
      </c>
    </row>
    <row r="16">
      <c r="A16" s="41" t="inlineStr">
        <is>
          <t>Team Gamma</t>
        </is>
      </c>
      <c r="B16" s="41" t="inlineStr">
        <is>
          <t>Process Exception Investigation</t>
        </is>
      </c>
      <c r="C16" s="41" t="inlineStr">
        <is>
          <t>TASK-2074</t>
        </is>
      </c>
      <c r="D16" s="42" t="n">
        <v>46211.60763888889</v>
      </c>
      <c r="E16" s="42" t="n">
        <v>46212.52430555555</v>
      </c>
      <c r="F16" s="43" t="inlineStr">
        <is>
          <t>N/A</t>
        </is>
      </c>
    </row>
    <row r="17">
      <c r="A17" s="41" t="inlineStr">
        <is>
          <t>Team Gamma</t>
        </is>
      </c>
      <c r="B17" s="41" t="inlineStr">
        <is>
          <t>Priority Escalation Review</t>
        </is>
      </c>
      <c r="C17" s="41" t="inlineStr">
        <is>
          <t>TASK-2076</t>
        </is>
      </c>
      <c r="D17" s="42" t="n">
        <v>46212.32361111111</v>
      </c>
      <c r="E17" s="42" t="n">
        <v>46213.61527777778</v>
      </c>
      <c r="F17" s="43" t="inlineStr">
        <is>
          <t>No</t>
        </is>
      </c>
    </row>
    <row r="18">
      <c r="A18" s="41" t="inlineStr">
        <is>
          <t>Team Gamma</t>
        </is>
      </c>
      <c r="B18" s="41" t="inlineStr">
        <is>
          <t>Complex Case Review</t>
        </is>
      </c>
      <c r="C18" s="41" t="inlineStr">
        <is>
          <t>TASK-2072</t>
        </is>
      </c>
      <c r="D18" s="42" t="n">
        <v>46213.65069444444</v>
      </c>
      <c r="E18" s="42" t="n">
        <v>46214.48402777778</v>
      </c>
      <c r="F18" s="43" t="inlineStr">
        <is>
          <t>N/A</t>
        </is>
      </c>
    </row>
    <row r="19">
      <c r="A19" s="41" t="inlineStr">
        <is>
          <t>Team Gamma</t>
        </is>
      </c>
      <c r="B19" s="41" t="inlineStr">
        <is>
          <t>Quality Review</t>
        </is>
      </c>
      <c r="C19" s="41" t="inlineStr">
        <is>
          <t>TASK-2068</t>
        </is>
      </c>
      <c r="D19" s="42" t="n">
        <v>46212.5</v>
      </c>
      <c r="E19" s="42" t="n">
        <v>46214.625</v>
      </c>
      <c r="F19" s="43" t="inlineStr">
        <is>
          <t>N/A</t>
        </is>
      </c>
    </row>
    <row r="20">
      <c r="A20" s="41" t="inlineStr">
        <is>
          <t>Team Gamma</t>
        </is>
      </c>
      <c r="B20" s="41" t="inlineStr">
        <is>
          <t>Complex Case Review</t>
        </is>
      </c>
      <c r="C20" s="41" t="inlineStr">
        <is>
          <t>TASK-2070</t>
        </is>
      </c>
      <c r="D20" s="42" t="n">
        <v>46212.88263888889</v>
      </c>
      <c r="E20" s="42" t="n">
        <v>46215.38263888889</v>
      </c>
      <c r="F20" s="43" t="inlineStr">
        <is>
          <t>N/A</t>
        </is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4" min="1" max="1"/>
    <col width="34" customWidth="1" style="44" min="2" max="2"/>
    <col width="16" customWidth="1" style="44" min="3" max="3"/>
    <col width="21" customWidth="1" style="44" min="4" max="5"/>
    <col width="21" customWidth="1" style="44" min="5" max="5"/>
    <col width="16" customWidth="1" style="44" min="6" max="6"/>
    <col width="8.710000000000001" customWidth="1" style="44" min="7" max="26"/>
  </cols>
  <sheetData>
    <row r="1" ht="30" customHeight="1" s="44">
      <c r="A1" s="45" t="inlineStr">
        <is>
          <t>Team</t>
        </is>
      </c>
      <c r="B1" s="45" t="inlineStr">
        <is>
          <t>Task Type</t>
        </is>
      </c>
      <c r="C1" s="45" t="inlineStr">
        <is>
          <t>Task ID</t>
        </is>
      </c>
      <c r="D1" s="45" t="inlineStr">
        <is>
          <t>Created Date</t>
        </is>
      </c>
      <c r="E1" s="45" t="inlineStr">
        <is>
          <t>Completed Date</t>
        </is>
      </c>
      <c r="F1" s="45" t="inlineStr">
        <is>
          <t>SLA Breached</t>
        </is>
      </c>
    </row>
    <row r="2">
      <c r="A2" s="41" t="inlineStr">
        <is>
          <t>Team Delta</t>
        </is>
      </c>
      <c r="B2" s="41" t="inlineStr">
        <is>
          <t>Complex Case Review</t>
        </is>
      </c>
      <c r="C2" s="41" t="inlineStr">
        <is>
          <t>TASK-2028</t>
        </is>
      </c>
      <c r="D2" s="42" t="n">
        <v>46199.76319444444</v>
      </c>
      <c r="E2" s="42" t="n">
        <v>46202.42986111111</v>
      </c>
      <c r="F2" s="43" t="inlineStr">
        <is>
          <t>N/A</t>
        </is>
      </c>
    </row>
    <row r="3">
      <c r="A3" s="41" t="inlineStr">
        <is>
          <t>Team Delta</t>
        </is>
      </c>
      <c r="B3" s="41" t="inlineStr">
        <is>
          <t>Process Exception Investigation</t>
        </is>
      </c>
      <c r="C3" s="41" t="inlineStr">
        <is>
          <t>TASK-2030</t>
        </is>
      </c>
      <c r="D3" s="42" t="n">
        <v>46202.72916666666</v>
      </c>
      <c r="E3" s="42" t="n">
        <v>46203.52083333334</v>
      </c>
      <c r="F3" s="43" t="inlineStr">
        <is>
          <t>N/A</t>
        </is>
      </c>
    </row>
    <row r="4">
      <c r="A4" s="41" t="inlineStr">
        <is>
          <t>Team Delta</t>
        </is>
      </c>
      <c r="B4" s="41" t="inlineStr">
        <is>
          <t>Priority Escalation Review</t>
        </is>
      </c>
      <c r="C4" s="41" t="inlineStr">
        <is>
          <t>TASK-2034</t>
        </is>
      </c>
      <c r="D4" s="42" t="n">
        <v>46201.92152777778</v>
      </c>
      <c r="E4" s="42" t="n">
        <v>46203.67152777778</v>
      </c>
      <c r="F4" s="43" t="inlineStr">
        <is>
          <t>No</t>
        </is>
      </c>
    </row>
    <row r="5">
      <c r="A5" s="41" t="inlineStr">
        <is>
          <t>Team Delta</t>
        </is>
      </c>
      <c r="B5" s="41" t="inlineStr">
        <is>
          <t>Quality Review</t>
        </is>
      </c>
      <c r="C5" s="41" t="inlineStr">
        <is>
          <t>TASK-2026</t>
        </is>
      </c>
      <c r="D5" s="42" t="n">
        <v>46201.80625</v>
      </c>
      <c r="E5" s="42" t="n">
        <v>46204.38958333333</v>
      </c>
      <c r="F5" s="43" t="inlineStr">
        <is>
          <t>N/A</t>
        </is>
      </c>
    </row>
    <row r="6">
      <c r="A6" s="41" t="inlineStr">
        <is>
          <t>Team Delta</t>
        </is>
      </c>
      <c r="B6" s="41" t="inlineStr">
        <is>
          <t>Priority Escalation Review</t>
        </is>
      </c>
      <c r="C6" s="41" t="inlineStr">
        <is>
          <t>TASK-2032</t>
        </is>
      </c>
      <c r="D6" s="42" t="n">
        <v>46203.44513888889</v>
      </c>
      <c r="E6" s="42" t="n">
        <v>46204.61180555556</v>
      </c>
      <c r="F6" s="43" t="inlineStr">
        <is>
          <t>Yes</t>
        </is>
      </c>
    </row>
    <row r="7">
      <c r="A7" s="41" t="inlineStr">
        <is>
          <t>Team Delta</t>
        </is>
      </c>
      <c r="B7" s="41" t="inlineStr">
        <is>
          <t>Complex Case Review</t>
        </is>
      </c>
      <c r="C7" s="41" t="inlineStr">
        <is>
          <t>TASK-2029</t>
        </is>
      </c>
      <c r="D7" s="42" t="n">
        <v>46202.52222222222</v>
      </c>
      <c r="E7" s="42" t="n">
        <v>46205.48055555556</v>
      </c>
      <c r="F7" s="43" t="inlineStr">
        <is>
          <t>N/A</t>
        </is>
      </c>
    </row>
    <row r="8">
      <c r="A8" s="41" t="inlineStr">
        <is>
          <t>Team Delta</t>
        </is>
      </c>
      <c r="B8" s="41" t="inlineStr">
        <is>
          <t>Process Exception Investigation</t>
        </is>
      </c>
      <c r="C8" s="41" t="inlineStr">
        <is>
          <t>TASK-2031</t>
        </is>
      </c>
      <c r="D8" s="42" t="n">
        <v>46205.48819444444</v>
      </c>
      <c r="E8" s="42" t="n">
        <v>46206.57152777778</v>
      </c>
      <c r="F8" s="43" t="inlineStr">
        <is>
          <t>N/A</t>
        </is>
      </c>
    </row>
    <row r="9">
      <c r="A9" s="41" t="inlineStr">
        <is>
          <t>Team Delta</t>
        </is>
      </c>
      <c r="B9" s="41" t="inlineStr">
        <is>
          <t>Quality Review</t>
        </is>
      </c>
      <c r="C9" s="41" t="inlineStr">
        <is>
          <t>TASK-2027</t>
        </is>
      </c>
      <c r="D9" s="42" t="n">
        <v>46204.56527777778</v>
      </c>
      <c r="E9" s="42" t="n">
        <v>46207.44027777778</v>
      </c>
      <c r="F9" s="43" t="inlineStr">
        <is>
          <t>N/A</t>
        </is>
      </c>
    </row>
    <row r="10">
      <c r="A10" s="41" t="inlineStr">
        <is>
          <t>Team Delta</t>
        </is>
      </c>
      <c r="B10" s="41" t="inlineStr">
        <is>
          <t>Priority Escalation Review</t>
        </is>
      </c>
      <c r="C10" s="41" t="inlineStr">
        <is>
          <t>TASK-2033</t>
        </is>
      </c>
      <c r="D10" s="42" t="n">
        <v>46206.20416666667</v>
      </c>
      <c r="E10" s="42" t="n">
        <v>46207.6625</v>
      </c>
      <c r="F10" s="43" t="inlineStr">
        <is>
          <t>No</t>
        </is>
      </c>
    </row>
    <row r="11">
      <c r="A11" s="41" t="inlineStr">
        <is>
          <t>Team Delta</t>
        </is>
      </c>
      <c r="B11" s="41" t="inlineStr">
        <is>
          <t>Quality Review</t>
        </is>
      </c>
      <c r="C11" s="41" t="inlineStr">
        <is>
          <t>TASK-2025</t>
        </is>
      </c>
      <c r="D11" s="42" t="n">
        <v>46206.38055555556</v>
      </c>
      <c r="E11" s="42" t="n">
        <v>46208.67222222222</v>
      </c>
      <c r="F11" s="43" t="inlineStr">
        <is>
          <t>N/A</t>
        </is>
      </c>
    </row>
    <row r="12">
      <c r="A12" s="41" t="inlineStr">
        <is>
          <t>Team Delta</t>
        </is>
      </c>
      <c r="B12" s="41" t="inlineStr">
        <is>
          <t>Complex Case Review</t>
        </is>
      </c>
      <c r="C12" s="41" t="inlineStr">
        <is>
          <t>TASK-2084</t>
        </is>
      </c>
      <c r="D12" s="42" t="n">
        <v>46208.49027777778</v>
      </c>
      <c r="E12" s="42" t="n">
        <v>46209.53194444445</v>
      </c>
      <c r="F12" s="43" t="inlineStr">
        <is>
          <t>N/A</t>
        </is>
      </c>
    </row>
    <row r="13">
      <c r="A13" s="41" t="inlineStr">
        <is>
          <t>Team Delta</t>
        </is>
      </c>
      <c r="B13" s="41" t="inlineStr">
        <is>
          <t>Quality Review</t>
        </is>
      </c>
      <c r="C13" s="41" t="inlineStr">
        <is>
          <t>TASK-2078</t>
        </is>
      </c>
      <c r="D13" s="42" t="n">
        <v>46207.33958333333</v>
      </c>
      <c r="E13" s="42" t="n">
        <v>46209.67291666667</v>
      </c>
      <c r="F13" s="43" t="inlineStr">
        <is>
          <t>N/A</t>
        </is>
      </c>
    </row>
    <row r="14">
      <c r="A14" s="41" t="inlineStr">
        <is>
          <t>Team Delta</t>
        </is>
      </c>
      <c r="B14" s="41" t="inlineStr">
        <is>
          <t>Complex Case Review</t>
        </is>
      </c>
      <c r="C14" s="41" t="inlineStr">
        <is>
          <t>TASK-2082</t>
        </is>
      </c>
      <c r="D14" s="42" t="n">
        <v>46207.72222222222</v>
      </c>
      <c r="E14" s="42" t="n">
        <v>46210.43055555555</v>
      </c>
      <c r="F14" s="43" t="inlineStr">
        <is>
          <t>N/A</t>
        </is>
      </c>
    </row>
    <row r="15">
      <c r="A15" s="41" t="inlineStr">
        <is>
          <t>Team Delta</t>
        </is>
      </c>
      <c r="B15" s="41" t="inlineStr">
        <is>
          <t>Quality Review</t>
        </is>
      </c>
      <c r="C15" s="41" t="inlineStr">
        <is>
          <t>TASK-2081</t>
        </is>
      </c>
      <c r="D15" s="42" t="n">
        <v>46210.53333333333</v>
      </c>
      <c r="E15" s="42" t="n">
        <v>46211.49166666667</v>
      </c>
      <c r="F15" s="43" t="inlineStr">
        <is>
          <t>N/A</t>
        </is>
      </c>
    </row>
    <row r="16">
      <c r="A16" s="41" t="inlineStr">
        <is>
          <t>Team Delta</t>
        </is>
      </c>
      <c r="B16" s="41" t="inlineStr">
        <is>
          <t>Process Exception Investigation</t>
        </is>
      </c>
      <c r="C16" s="41" t="inlineStr">
        <is>
          <t>TASK-2085</t>
        </is>
      </c>
      <c r="D16" s="42" t="n">
        <v>46210.68819444445</v>
      </c>
      <c r="E16" s="42" t="n">
        <v>46211.52152777778</v>
      </c>
      <c r="F16" s="43" t="inlineStr">
        <is>
          <t>N/A</t>
        </is>
      </c>
    </row>
    <row r="17">
      <c r="A17" s="41" t="inlineStr">
        <is>
          <t>Team Delta</t>
        </is>
      </c>
      <c r="B17" s="41" t="inlineStr">
        <is>
          <t>Quality Review</t>
        </is>
      </c>
      <c r="C17" s="41" t="inlineStr">
        <is>
          <t>TASK-2079</t>
        </is>
      </c>
      <c r="D17" s="42" t="n">
        <v>46209.76527777778</v>
      </c>
      <c r="E17" s="42" t="n">
        <v>46212.39027777778</v>
      </c>
      <c r="F17" s="43" t="inlineStr">
        <is>
          <t>N/A</t>
        </is>
      </c>
    </row>
    <row r="18">
      <c r="A18" s="41" t="inlineStr">
        <is>
          <t>Team Delta</t>
        </is>
      </c>
      <c r="B18" s="41" t="inlineStr">
        <is>
          <t>Priority Escalation Review</t>
        </is>
      </c>
      <c r="C18" s="41" t="inlineStr">
        <is>
          <t>TASK-2087</t>
        </is>
      </c>
      <c r="D18" s="42" t="n">
        <v>46211.40416666667</v>
      </c>
      <c r="E18" s="42" t="n">
        <v>46212.6125</v>
      </c>
      <c r="F18" s="43" t="inlineStr">
        <is>
          <t>Yes</t>
        </is>
      </c>
    </row>
    <row r="19">
      <c r="A19" s="41" t="inlineStr">
        <is>
          <t>Team Delta</t>
        </is>
      </c>
      <c r="B19" s="41" t="inlineStr">
        <is>
          <t>Complex Case Review</t>
        </is>
      </c>
      <c r="C19" s="41" t="inlineStr">
        <is>
          <t>TASK-2083</t>
        </is>
      </c>
      <c r="D19" s="42" t="n">
        <v>46212.73125</v>
      </c>
      <c r="E19" s="42" t="n">
        <v>46213.48125</v>
      </c>
      <c r="F19" s="43" t="inlineStr">
        <is>
          <t>N/A</t>
        </is>
      </c>
    </row>
    <row r="20">
      <c r="A20" s="41" t="inlineStr">
        <is>
          <t>Team Delta</t>
        </is>
      </c>
      <c r="B20" s="41" t="inlineStr">
        <is>
          <t>Process Exception Investigation</t>
        </is>
      </c>
      <c r="C20" s="41" t="inlineStr">
        <is>
          <t>TASK-2086</t>
        </is>
      </c>
      <c r="D20" s="42" t="n">
        <v>46213.44722222222</v>
      </c>
      <c r="E20" s="42" t="n">
        <v>46214.57222222222</v>
      </c>
      <c r="F20" s="43" t="inlineStr">
        <is>
          <t>N/A</t>
        </is>
      </c>
    </row>
    <row r="21" ht="15.75" customHeight="1" s="44">
      <c r="A21" s="41" t="inlineStr">
        <is>
          <t>Team Delta</t>
        </is>
      </c>
      <c r="B21" s="41" t="inlineStr">
        <is>
          <t>Quality Review</t>
        </is>
      </c>
      <c r="C21" s="41" t="inlineStr">
        <is>
          <t>TASK-2080</t>
        </is>
      </c>
      <c r="D21" s="42" t="n">
        <v>46212.52430555555</v>
      </c>
      <c r="E21" s="42" t="n">
        <v>46215.44097222222</v>
      </c>
      <c r="F21" s="43" t="inlineStr">
        <is>
          <t>N/A</t>
        </is>
      </c>
    </row>
    <row r="22" ht="15.75" customHeight="1" s="44">
      <c r="A22" s="41" t="inlineStr">
        <is>
          <t>Team Delta</t>
        </is>
      </c>
      <c r="B22" s="41" t="inlineStr">
        <is>
          <t>Priority Escalation Review</t>
        </is>
      </c>
      <c r="C22" s="41" t="inlineStr">
        <is>
          <t>TASK-2088</t>
        </is>
      </c>
      <c r="D22" s="42" t="n">
        <v>46214.16319444445</v>
      </c>
      <c r="E22" s="42" t="n">
        <v>46215.66319444445</v>
      </c>
      <c r="F22" s="43" t="inlineStr">
        <is>
          <t>No</t>
        </is>
      </c>
    </row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44" min="1" max="1"/>
    <col width="34" customWidth="1" style="44" min="2" max="2"/>
    <col width="16" customWidth="1" style="44" min="3" max="3"/>
    <col width="21" customWidth="1" style="44" min="4" max="5"/>
    <col width="21" customWidth="1" style="44" min="5" max="5"/>
    <col width="16" customWidth="1" style="44" min="6" max="6"/>
    <col width="8.710000000000001" customWidth="1" style="44" min="7" max="26"/>
  </cols>
  <sheetData>
    <row r="1" ht="30" customHeight="1" s="44">
      <c r="A1" s="45" t="inlineStr">
        <is>
          <t>Team</t>
        </is>
      </c>
      <c r="B1" s="45" t="inlineStr">
        <is>
          <t>Task Type</t>
        </is>
      </c>
      <c r="C1" s="45" t="inlineStr">
        <is>
          <t>Task ID</t>
        </is>
      </c>
      <c r="D1" s="45" t="inlineStr">
        <is>
          <t>Created Date</t>
        </is>
      </c>
      <c r="E1" s="45" t="inlineStr">
        <is>
          <t>Completed Date</t>
        </is>
      </c>
      <c r="F1" s="45" t="inlineStr">
        <is>
          <t>SLA Breached</t>
        </is>
      </c>
    </row>
    <row r="2">
      <c r="A2" s="41" t="inlineStr">
        <is>
          <t>Team Epsilon</t>
        </is>
      </c>
      <c r="B2" s="41" t="inlineStr">
        <is>
          <t>Priority Escalation Review</t>
        </is>
      </c>
      <c r="C2" s="41" t="inlineStr">
        <is>
          <t>TASK-2043</t>
        </is>
      </c>
      <c r="D2" s="42" t="n">
        <v>46201.00208333333</v>
      </c>
      <c r="E2" s="42" t="n">
        <v>46202.66875</v>
      </c>
      <c r="F2" s="43" t="inlineStr">
        <is>
          <t>Yes</t>
        </is>
      </c>
    </row>
    <row r="3">
      <c r="A3" s="41" t="inlineStr">
        <is>
          <t>Team Epsilon</t>
        </is>
      </c>
      <c r="B3" s="41" t="inlineStr">
        <is>
          <t>Quality Review</t>
        </is>
      </c>
      <c r="C3" s="41" t="inlineStr">
        <is>
          <t>TASK-2035</t>
        </is>
      </c>
      <c r="D3" s="42" t="n">
        <v>46200.88680555556</v>
      </c>
      <c r="E3" s="42" t="n">
        <v>46203.38680555556</v>
      </c>
      <c r="F3" s="43" t="inlineStr">
        <is>
          <t>N/A</t>
        </is>
      </c>
    </row>
    <row r="4">
      <c r="A4" s="41" t="inlineStr">
        <is>
          <t>Team Epsilon</t>
        </is>
      </c>
      <c r="B4" s="41" t="inlineStr">
        <is>
          <t>Complex Case Review</t>
        </is>
      </c>
      <c r="C4" s="41" t="inlineStr">
        <is>
          <t>TASK-2039</t>
        </is>
      </c>
      <c r="D4" s="42" t="n">
        <v>46202.37083333333</v>
      </c>
      <c r="E4" s="42" t="n">
        <v>46203.57916666667</v>
      </c>
      <c r="F4" s="43" t="inlineStr">
        <is>
          <t>N/A</t>
        </is>
      </c>
    </row>
    <row r="5">
      <c r="A5" s="41" t="inlineStr">
        <is>
          <t>Team Epsilon</t>
        </is>
      </c>
      <c r="B5" s="41" t="inlineStr">
        <is>
          <t>Complex Case Review</t>
        </is>
      </c>
      <c r="C5" s="41" t="inlineStr">
        <is>
          <t>TASK-2037</t>
        </is>
      </c>
      <c r="D5" s="42" t="n">
        <v>46201.60277777778</v>
      </c>
      <c r="E5" s="42" t="n">
        <v>46204.47777777778</v>
      </c>
      <c r="F5" s="43" t="inlineStr">
        <is>
          <t>N/A</t>
        </is>
      </c>
    </row>
    <row r="6">
      <c r="A6" s="41" t="inlineStr">
        <is>
          <t>Team Epsilon</t>
        </is>
      </c>
      <c r="B6" s="41" t="inlineStr">
        <is>
          <t>Priority Escalation Review</t>
        </is>
      </c>
      <c r="C6" s="41" t="inlineStr">
        <is>
          <t>TASK-2044</t>
        </is>
      </c>
      <c r="D6" s="42" t="n">
        <v>46203.42777777778</v>
      </c>
      <c r="E6" s="42" t="n">
        <v>46205.38611111111</v>
      </c>
      <c r="F6" s="43" t="inlineStr">
        <is>
          <t>No</t>
        </is>
      </c>
    </row>
    <row r="7">
      <c r="A7" s="41" t="inlineStr">
        <is>
          <t>Team Epsilon</t>
        </is>
      </c>
      <c r="B7" s="41" t="inlineStr">
        <is>
          <t>Process Exception Investigation</t>
        </is>
      </c>
      <c r="C7" s="41" t="inlineStr">
        <is>
          <t>TASK-2040</t>
        </is>
      </c>
      <c r="D7" s="42" t="n">
        <v>46204.56875</v>
      </c>
      <c r="E7" s="42" t="n">
        <v>46205.56875</v>
      </c>
      <c r="F7" s="43" t="inlineStr">
        <is>
          <t>N/A</t>
        </is>
      </c>
    </row>
    <row r="8">
      <c r="A8" s="41" t="inlineStr">
        <is>
          <t>Team Epsilon</t>
        </is>
      </c>
      <c r="B8" s="41" t="inlineStr">
        <is>
          <t>Quality Review</t>
        </is>
      </c>
      <c r="C8" s="41" t="inlineStr">
        <is>
          <t>TASK-2036</t>
        </is>
      </c>
      <c r="D8" s="42" t="n">
        <v>46203.64583333334</v>
      </c>
      <c r="E8" s="42" t="n">
        <v>46206.4375</v>
      </c>
      <c r="F8" s="43" t="inlineStr">
        <is>
          <t>N/A</t>
        </is>
      </c>
    </row>
    <row r="9">
      <c r="A9" s="41" t="inlineStr">
        <is>
          <t>Team Epsilon</t>
        </is>
      </c>
      <c r="B9" s="41" t="inlineStr">
        <is>
          <t>Priority Escalation Review</t>
        </is>
      </c>
      <c r="C9" s="41" t="inlineStr">
        <is>
          <t>TASK-2042</t>
        </is>
      </c>
      <c r="D9" s="42" t="n">
        <v>46205.28472222222</v>
      </c>
      <c r="E9" s="42" t="n">
        <v>46206.65972222222</v>
      </c>
      <c r="F9" s="43" t="inlineStr">
        <is>
          <t>Yes</t>
        </is>
      </c>
    </row>
    <row r="10">
      <c r="A10" s="41" t="inlineStr">
        <is>
          <t>Team Epsilon</t>
        </is>
      </c>
      <c r="B10" s="41" t="inlineStr">
        <is>
          <t>Complex Case Review</t>
        </is>
      </c>
      <c r="C10" s="41" t="inlineStr">
        <is>
          <t>TASK-2038</t>
        </is>
      </c>
      <c r="D10" s="42" t="n">
        <v>46206.61180555556</v>
      </c>
      <c r="E10" s="42" t="n">
        <v>46207.52847222222</v>
      </c>
      <c r="F10" s="43" t="inlineStr">
        <is>
          <t>N/A</t>
        </is>
      </c>
    </row>
    <row r="11">
      <c r="A11" s="41" t="inlineStr">
        <is>
          <t>Team Epsilon</t>
        </is>
      </c>
      <c r="B11" s="41" t="inlineStr">
        <is>
          <t>Process Exception Investigation</t>
        </is>
      </c>
      <c r="C11" s="41" t="inlineStr">
        <is>
          <t>TASK-2041</t>
        </is>
      </c>
      <c r="D11" s="42" t="n">
        <v>46207.32777777778</v>
      </c>
      <c r="E11" s="42" t="n">
        <v>46208.61944444444</v>
      </c>
      <c r="F11" s="43" t="inlineStr">
        <is>
          <t>N/A</t>
        </is>
      </c>
    </row>
    <row r="12">
      <c r="A12" s="41" t="inlineStr">
        <is>
          <t>Team Epsilon</t>
        </is>
      </c>
      <c r="B12" s="41" t="inlineStr">
        <is>
          <t>Priority Escalation Review</t>
        </is>
      </c>
      <c r="C12" s="41" t="inlineStr">
        <is>
          <t>TASK-2100</t>
        </is>
      </c>
      <c r="D12" s="42" t="n">
        <v>46207.14583333334</v>
      </c>
      <c r="E12" s="42" t="n">
        <v>46209.4375</v>
      </c>
      <c r="F12" s="43" t="inlineStr">
        <is>
          <t>No</t>
        </is>
      </c>
    </row>
    <row r="13">
      <c r="A13" s="41" t="inlineStr">
        <is>
          <t>Team Epsilon</t>
        </is>
      </c>
      <c r="B13" s="41" t="inlineStr">
        <is>
          <t>Process Exception Investigation</t>
        </is>
      </c>
      <c r="C13" s="41" t="inlineStr">
        <is>
          <t>TASK-2095</t>
        </is>
      </c>
      <c r="D13" s="42" t="n">
        <v>46208.28680555556</v>
      </c>
      <c r="E13" s="42" t="n">
        <v>46209.62013888889</v>
      </c>
      <c r="F13" s="43" t="inlineStr">
        <is>
          <t>N/A</t>
        </is>
      </c>
    </row>
    <row r="14">
      <c r="A14" s="41" t="inlineStr">
        <is>
          <t>Team Epsilon</t>
        </is>
      </c>
      <c r="B14" s="41" t="inlineStr">
        <is>
          <t>Quality Review</t>
        </is>
      </c>
      <c r="C14" s="41" t="inlineStr">
        <is>
          <t>TASK-2091</t>
        </is>
      </c>
      <c r="D14" s="42" t="n">
        <v>46209.61388888889</v>
      </c>
      <c r="E14" s="42" t="n">
        <v>46210.48888888889</v>
      </c>
      <c r="F14" s="43" t="inlineStr">
        <is>
          <t>N/A</t>
        </is>
      </c>
    </row>
    <row r="15">
      <c r="A15" s="41" t="inlineStr">
        <is>
          <t>Team Epsilon</t>
        </is>
      </c>
      <c r="B15" s="41" t="inlineStr">
        <is>
          <t>Priority Escalation Review</t>
        </is>
      </c>
      <c r="C15" s="41" t="inlineStr">
        <is>
          <t>TASK-2098</t>
        </is>
      </c>
      <c r="D15" s="42" t="n">
        <v>46208.96111111111</v>
      </c>
      <c r="E15" s="42" t="n">
        <v>46210.66944444444</v>
      </c>
      <c r="F15" s="43" t="inlineStr">
        <is>
          <t>No</t>
        </is>
      </c>
    </row>
    <row r="16">
      <c r="A16" s="41" t="inlineStr">
        <is>
          <t>Team Epsilon</t>
        </is>
      </c>
      <c r="B16" s="41" t="inlineStr">
        <is>
          <t>Quality Review</t>
        </is>
      </c>
      <c r="C16" s="41" t="inlineStr">
        <is>
          <t>TASK-2089</t>
        </is>
      </c>
      <c r="D16" s="42" t="n">
        <v>46208.84583333333</v>
      </c>
      <c r="E16" s="42" t="n">
        <v>46211.3875</v>
      </c>
      <c r="F16" s="43" t="inlineStr">
        <is>
          <t>N/A</t>
        </is>
      </c>
    </row>
    <row r="17">
      <c r="A17" s="41" t="inlineStr">
        <is>
          <t>Team Epsilon</t>
        </is>
      </c>
      <c r="B17" s="41" t="inlineStr">
        <is>
          <t>Complex Case Review</t>
        </is>
      </c>
      <c r="C17" s="41" t="inlineStr">
        <is>
          <t>TASK-2092</t>
        </is>
      </c>
      <c r="D17" s="42" t="n">
        <v>46209.56180555555</v>
      </c>
      <c r="E17" s="42" t="n">
        <v>46212.47847222222</v>
      </c>
      <c r="F17" s="43" t="inlineStr">
        <is>
          <t>N/A</t>
        </is>
      </c>
    </row>
    <row r="18">
      <c r="A18" s="41" t="inlineStr">
        <is>
          <t>Team Epsilon</t>
        </is>
      </c>
      <c r="B18" s="41" t="inlineStr">
        <is>
          <t>Process Exception Investigation</t>
        </is>
      </c>
      <c r="C18" s="41" t="inlineStr">
        <is>
          <t>TASK-2096</t>
        </is>
      </c>
      <c r="D18" s="42" t="n">
        <v>46211.00416666667</v>
      </c>
      <c r="E18" s="42" t="n">
        <v>46212.62916666667</v>
      </c>
      <c r="F18" s="43" t="inlineStr">
        <is>
          <t>N/A</t>
        </is>
      </c>
    </row>
    <row r="19">
      <c r="A19" s="41" t="inlineStr">
        <is>
          <t>Team Epsilon</t>
        </is>
      </c>
      <c r="B19" s="41" t="inlineStr">
        <is>
          <t>Priority Escalation Review</t>
        </is>
      </c>
      <c r="C19" s="41" t="inlineStr">
        <is>
          <t>TASK-2099</t>
        </is>
      </c>
      <c r="D19" s="42" t="n">
        <v>46211.38680555556</v>
      </c>
      <c r="E19" s="42" t="n">
        <v>46213.38680555556</v>
      </c>
      <c r="F19" s="43" t="inlineStr">
        <is>
          <t>No</t>
        </is>
      </c>
    </row>
    <row r="20">
      <c r="A20" s="41" t="inlineStr">
        <is>
          <t>Team Epsilon</t>
        </is>
      </c>
      <c r="B20" s="41" t="inlineStr">
        <is>
          <t>Process Exception Investigation</t>
        </is>
      </c>
      <c r="C20" s="41" t="inlineStr">
        <is>
          <t>TASK-2094</t>
        </is>
      </c>
      <c r="D20" s="42" t="n">
        <v>46212.52777777778</v>
      </c>
      <c r="E20" s="42" t="n">
        <v>46213.56944444445</v>
      </c>
      <c r="F20" s="43" t="inlineStr">
        <is>
          <t>N/A</t>
        </is>
      </c>
    </row>
    <row r="21" ht="15.75" customHeight="1" s="44">
      <c r="A21" s="41" t="inlineStr">
        <is>
          <t>Team Epsilon</t>
        </is>
      </c>
      <c r="B21" s="41" t="inlineStr">
        <is>
          <t>Quality Review</t>
        </is>
      </c>
      <c r="C21" s="41" t="inlineStr">
        <is>
          <t>TASK-2090</t>
        </is>
      </c>
      <c r="D21" s="42" t="n">
        <v>46211.60486111111</v>
      </c>
      <c r="E21" s="42" t="n">
        <v>46214.43819444445</v>
      </c>
      <c r="F21" s="43" t="inlineStr">
        <is>
          <t>N/A</t>
        </is>
      </c>
    </row>
    <row r="22" ht="15.75" customHeight="1" s="44">
      <c r="A22" s="41" t="inlineStr">
        <is>
          <t>Team Epsilon</t>
        </is>
      </c>
      <c r="B22" s="41" t="inlineStr">
        <is>
          <t>Priority Escalation Review</t>
        </is>
      </c>
      <c r="C22" s="41" t="inlineStr">
        <is>
          <t>TASK-2097</t>
        </is>
      </c>
      <c r="D22" s="42" t="n">
        <v>46213.24375</v>
      </c>
      <c r="E22" s="42" t="n">
        <v>46214.66041666667</v>
      </c>
      <c r="F22" s="43" t="inlineStr">
        <is>
          <t>Yes</t>
        </is>
      </c>
    </row>
    <row r="23" ht="15.75" customHeight="1" s="44">
      <c r="A23" s="41" t="inlineStr">
        <is>
          <t>Team Epsilon</t>
        </is>
      </c>
      <c r="B23" s="41" t="inlineStr">
        <is>
          <t>Complex Case Review</t>
        </is>
      </c>
      <c r="C23" s="41" t="inlineStr">
        <is>
          <t>TASK-2093</t>
        </is>
      </c>
      <c r="D23" s="42" t="n">
        <v>46214.57083333333</v>
      </c>
      <c r="E23" s="42" t="n">
        <v>46215.52916666667</v>
      </c>
      <c r="F23" s="43" t="inlineStr">
        <is>
          <t>N/A</t>
        </is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2026-07-12T23:59:07Z</dcterms:created>
  <dcterms:modified xsi:type="dcterms:W3CDTF">2026-07-13T01:01:34Z</dcterms:modified>
</cp:coreProperties>
</file>